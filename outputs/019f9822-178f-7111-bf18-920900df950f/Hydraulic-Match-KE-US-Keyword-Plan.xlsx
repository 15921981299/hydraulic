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a37c78e31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2be298e203a43e9"/>
    <x:sheet xmlns:r="http://schemas.openxmlformats.org/officeDocument/2006/relationships" name="Keyword Plan" sheetId="2" r:id="R54f756f5b22b4c77"/>
    <x:sheet xmlns:r="http://schemas.openxmlformats.org/officeDocument/2006/relationships" name="Owned Site Wins" sheetId="3" r:id="R861c81d5bddf45df"/>
    <x:sheet xmlns:r="http://schemas.openxmlformats.org/officeDocument/2006/relationships" name="Raw KE Metrics" sheetId="4" r:id="R15df0bd6e79b437e"/>
    <x:sheet xmlns:r="http://schemas.openxmlformats.org/officeDocument/2006/relationships" name="Current Coverage" sheetId="5" r:id="R67155980a45649c5"/>
    <x:sheet xmlns:r="http://schemas.openxmlformats.org/officeDocument/2006/relationships" name="Methodology" sheetId="6" r:id="Rbf44dc1e6015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$0.00"/>
    <x:numFmt numFmtId="202" formatCode="0.00"/>
    <x:numFmt numFmtId="203" formatCode="0.0%"/>
    <x:numFmt numFmtId="204" formatCode="#,##0.0"/>
    <x:numFmt numFmtId="205" formatCode="0"/>
  </x:numFmts>
  <x:fonts count="1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20"/>
      <x:color rgb="FFFFFFFF"/>
      <x:name val="Carlito"/>
    </x:font>
    <x:font>
      <x:i/>
      <x:sz val="11"/>
      <x:color rgb="FF334155"/>
      <x:name val="Carlito"/>
    </x:font>
    <x:font>
      <x:b/>
      <x:sz val="16"/>
      <x:color rgb="FF0369A1"/>
      <x:name val="Carlito"/>
    </x:font>
    <x:font>
      <x:b/>
      <x:sz val="11"/>
      <x:color rgb="FF0F172A"/>
      <x:name val="Carlito"/>
    </x:font>
    <x:font>
      <x:b/>
      <x:sz val="18"/>
      <x:color rgb="FFFFFFFF"/>
      <x:name val="Carlito"/>
    </x:font>
    <x:font>
      <x:b/>
      <x:sz val="20"/>
      <x:color rgb="FFFFFFFF"/>
      <x:name val="Arial"/>
    </x:font>
    <x:font>
      <x:i/>
      <x:sz val="11"/>
      <x:color rgb="FF334155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6"/>
      <x:color rgb="FF0369A1"/>
      <x:name val="Arial"/>
    </x:font>
    <x:font>
      <x:b/>
      <x:sz val="11"/>
      <x:color rgb="FF0F172A"/>
      <x:name val="Arial"/>
    </x:font>
    <x:font>
      <x:b/>
      <x:sz val="18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  <x:fill>
      <x:patternFill patternType="solid">
        <x:fgColor rgb="FFFFF7D6"/>
      </x:patternFill>
    </x:fill>
  </x:fills>
  <x:borders count="5">
    <x:border/>
    <x:border>
      <x:bottom style="medium">
        <x:color rgb="FF0369A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203" fontId="7" fillId="6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0" fillId="0" borderId="2" xfId="0" applyNumberFormat="1" applyFont="1" applyFill="1" applyBorder="1"/>
    <x:xf numFmtId="0" fontId="7" fillId="5" borderId="3" xfId="0" applyNumberFormat="1" applyFont="1" applyFill="1" applyBorder="1"/>
    <x:xf numFmtId="0" fontId="0" fillId="0" borderId="3" xfId="0" applyNumberFormat="1" applyFont="1" applyFill="1" applyBorder="1"/>
    <x:xf numFmtId="0" fontId="7" fillId="5" borderId="4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/>
    <x:xf numFmtId="0" fontId="11" fillId="0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200" fontId="13" fillId="5" borderId="0" xfId="0" applyNumberFormat="1" applyFont="1" applyFill="1" applyBorder="1"/>
    <x:xf numFmtId="203" fontId="14" fillId="6" borderId="0" xfId="0" applyNumberFormat="1" applyFont="1" applyFill="1" applyBorder="1"/>
    <x:xf numFmtId="200" fontId="11" fillId="0" borderId="0" xfId="0" applyNumberFormat="1" applyFont="1" applyFill="1" applyBorder="1"/>
    <x:xf numFmtId="201" fontId="11" fillId="0" borderId="0" xfId="0" applyNumberFormat="1" applyFont="1" applyFill="1" applyBorder="1"/>
    <x:xf numFmtId="0" fontId="15" fillId="2" borderId="0" xfId="0" applyNumberFormat="1" applyFont="1" applyFill="1" applyBorder="1" applyAlignment="1">
      <x:alignment vertical="center"/>
    </x:xf>
    <x:xf numFmtId="0" fontId="14" fillId="5" borderId="2" xfId="0" applyNumberFormat="1" applyFont="1" applyFill="1" applyBorder="1"/>
    <x:xf numFmtId="0" fontId="11" fillId="0" borderId="2" xfId="0" applyNumberFormat="1" applyFont="1" applyFill="1" applyBorder="1" applyAlignment="1">
      <x:alignment wrapText="1"/>
    </x:xf>
    <x:xf numFmtId="0" fontId="14" fillId="5" borderId="3" xfId="0" applyNumberFormat="1" applyFont="1" applyFill="1" applyBorder="1"/>
    <x:xf numFmtId="0" fontId="11" fillId="0" borderId="3" xfId="0" applyNumberFormat="1" applyFont="1" applyFill="1" applyBorder="1" applyAlignment="1">
      <x:alignment wrapText="1"/>
    </x:xf>
    <x:xf numFmtId="0" fontId="14" fillId="5" borderId="4" xfId="0" applyNumberFormat="1" applyFont="1" applyFill="1" applyBorder="1"/>
    <x:xf numFmtId="0" fontId="11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0369A1"/>
      </x:font>
      <x:fill>
        <x:patternFill patternType="solid">
          <x:bgColor rgb="FFE0F2FE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ccf0b6a7646e4" /><Relationship Type="http://schemas.openxmlformats.org/officeDocument/2006/relationships/theme" Target="/xl/theme/theme1.xml" Id="Rc08becb78add4fce" /><Relationship Type="http://schemas.openxmlformats.org/officeDocument/2006/relationships/sharedStrings" Target="/xl/sharedStrings.xml" Id="Ra38d45941b3d417b" /><Relationship Type="http://schemas.openxmlformats.org/officeDocument/2006/relationships/worksheet" Target="/xl/worksheets/sheet1.xml" Id="R02be298e203a43e9" /><Relationship Type="http://schemas.openxmlformats.org/officeDocument/2006/relationships/worksheet" Target="/xl/worksheets/sheet2.xml" Id="R54f756f5b22b4c77" /><Relationship Type="http://schemas.openxmlformats.org/officeDocument/2006/relationships/worksheet" Target="/xl/worksheets/sheet3.xml" Id="R861c81d5bddf45df" /><Relationship Type="http://schemas.openxmlformats.org/officeDocument/2006/relationships/worksheet" Target="/xl/worksheets/sheet4.xml" Id="R15df0bd6e79b437e" /><Relationship Type="http://schemas.openxmlformats.org/officeDocument/2006/relationships/worksheet" Target="/xl/worksheets/sheet5.xml" Id="R67155980a45649c5" /><Relationship Type="http://schemas.openxmlformats.org/officeDocument/2006/relationships/worksheet" Target="/xl/worksheets/sheet6.xml" Id="Rbf44dc1e60154d4e" /></Relationships>
</file>

<file path=xl/tables/table1.xml><?xml version="1.0" encoding="utf-8"?>
<x:table xmlns:x="http://schemas.openxmlformats.org/spreadsheetml/2006/main" id="1" name="KeywordPlanTable" displayName="KeywordPlanTable" ref="A1:U422" headerRowCount="1" totalsRowCount="0" totalsRowShown="0">
  <x:tableColumns count="21">
    <x:tableColumn id="1" name="Keyword"/>
    <x:tableColumn id="2" name="Volume"/>
    <x:tableColumn id="3" name="CPC (USD)"/>
    <x:tableColumn id="4" name="Ads Competition"/>
    <x:tableColumn id="5" name="Latest Month"/>
    <x:tableColumn id="6" name="Trend vs Avg"/>
    <x:tableColumn id="7" name="Intent"/>
    <x:tableColumn id="8" name="Cluster"/>
    <x:tableColumn id="9" name="Relevance (1-5)"/>
    <x:tableColumn id="10" name="Existing URL"/>
    <x:tableColumn id="11" name="Coverage"/>
    <x:tableColumn id="12" name="Recommended Action"/>
    <x:tableColumn id="13" name="Page Type"/>
    <x:tableColumn id="14" name="Business Value"/>
    <x:tableColumn id="15" name="Volume Score"/>
    <x:tableColumn id="16" name="CPC Score"/>
    <x:tableColumn id="17" name="Priority Score"/>
    <x:tableColumn id="18" name="Priority"/>
    <x:tableColumn id="19" name="Est. Clicks @ Target CTR"/>
    <x:tableColumn id="20" name="Est. Inquiries"/>
    <x:tableColumn id="21" name="Recommendat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wnedSiteWinsTable" displayName="OwnedSiteWinsTable" ref="A1:H28" headerRowCount="1" totalsRowCount="0" totalsRowShown="0">
  <x:tableColumns count="8">
    <x:tableColumn id="1" name="Domain"/>
    <x:tableColumn id="2" name="Keyword"/>
    <x:tableColumn id="3" name="Estimated US Traffic"/>
    <x:tableColumn id="4" name="SERP Position"/>
    <x:tableColumn id="5" name="Intent"/>
    <x:tableColumn id="6" name="Relevance"/>
    <x:tableColumn id="7" name="Matching Hydraulic Match URL"/>
    <x:tableColumn id="8" name="Recommend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KEMetricsTable" displayName="RawKEMetricsTable" ref="A1:H422" headerRowCount="1" totalsRowCount="0" totalsRowShown="0">
  <x:tableColumns count="8">
    <x:tableColumn id="1" name="Keyword"/>
    <x:tableColumn id="2" name="Volume"/>
    <x:tableColumn id="3" name="CPC (USD)"/>
    <x:tableColumn id="4" name="Ads Competition"/>
    <x:tableColumn id="5" name="Latest Month"/>
    <x:tableColumn id="6" name="12M Average"/>
    <x:tableColumn id="7" name="Trend vs Avg"/>
    <x:tableColumn id="8" name="12-Month Histo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rrentCoverageTable" displayName="CurrentCoverageTable" ref="A1:C167" headerRowCount="1" totalsRowCount="0" totalsRowShown="0">
  <x:tableColumns count="3">
    <x:tableColumn id="1" name="Current URL"/>
    <x:tableColumn id="2" name="Section"/>
    <x:tableColumn id="3" name="Page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68c86162b14c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1e63a72f0b4f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964ba4998545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7e62636a7d49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9" hidden="0" customWidth="1"/>
    <x:col min="4" max="4" width="32" hidden="0" customWidth="1"/>
    <x:col min="5" max="5" width="26" hidden="0" customWidth="1"/>
    <x:col min="6" max="6" width="15" hidden="0" customWidth="1"/>
    <x:col min="7" max="7" width="31" hidden="0" customWidth="1"/>
    <x:col min="8" max="8" width="48" hidden="0" customWidth="1"/>
  </x:cols>
  <x:sheetData>
    <x:row r="1">
      <x:c r="A1" s="42" t="str">
        <x:v>Hydraulic Match - KE US Keyword Opportunity Dashboard</x:v>
      </x:c>
      <x:c r="B1" s="42"/>
      <x:c r="C1" s="42"/>
      <x:c r="D1" s="42"/>
      <x:c r="E1" s="42"/>
      <x:c r="F1" s="42"/>
      <x:c r="G1" s="42"/>
      <x:c r="H1" s="42"/>
    </x:row>
    <x:row r="2">
      <x:c r="A2" s="42"/>
      <x:c r="B2" s="42"/>
      <x:c r="C2" s="42"/>
      <x:c r="D2" s="42"/>
      <x:c r="E2" s="42"/>
      <x:c r="F2" s="42"/>
      <x:c r="G2" s="42"/>
      <x:c r="H2" s="42"/>
    </x:row>
    <x:row r="3">
      <x:c r="A3" s="43" t="str">
        <x:v>Market: United States | Data: Keywords Everywhere / Google Keyword Planner | Goal: qualified hydraulic RFQs</x:v>
      </x:c>
      <x:c r="B3" s="43"/>
      <x:c r="C3" s="43"/>
      <x:c r="D3" s="43"/>
      <x:c r="E3" s="43"/>
      <x:c r="F3" s="43"/>
      <x:c r="G3" s="43"/>
      <x:c r="H3" s="43"/>
    </x:row>
    <x:row r="4">
      <x:c r="A4" s="44"/>
      <x:c r="B4" s="44"/>
      <x:c r="C4" s="44"/>
      <x:c r="D4" s="44"/>
      <x:c r="E4" s="44"/>
      <x:c r="F4" s="44"/>
      <x:c r="G4" s="44"/>
      <x:c r="H4" s="44"/>
    </x:row>
    <x:row r="5">
      <x:c r="A5" s="45" t="str">
        <x:v>Keywords Tested</x:v>
      </x:c>
      <x:c r="B5" s="45"/>
      <x:c r="C5" s="45" t="str">
        <x:v>With Volume</x:v>
      </x:c>
      <x:c r="D5" s="45"/>
      <x:c r="E5" s="45" t="str">
        <x:v>A/B Opportunities</x:v>
      </x:c>
      <x:c r="F5" s="45"/>
      <x:c r="G5" s="45" t="str">
        <x:v>Commercial Gaps</x:v>
      </x:c>
      <x:c r="H5" s="45"/>
    </x:row>
    <x:row r="6">
      <x:c r="A6" s="46" t="n">
        <x:f>COUNTA('Keyword Plan'!A2:A422)</x:f>
        <x:v>421</x:v>
      </x:c>
      <x:c r="B6" s="44"/>
      <x:c r="C6" s="46" t="n">
        <x:f>COUNTIF('Keyword Plan'!B2:B422,"&gt;0")</x:f>
        <x:v>129</x:v>
      </x:c>
      <x:c r="D6" s="44"/>
      <x:c r="E6" s="46" t="n">
        <x:f>COUNTIF('Keyword Plan'!R2:R422,"A")+COUNTIF('Keyword Plan'!R2:R422,"B")</x:f>
        <x:v>93</x:v>
      </x:c>
      <x:c r="F6" s="44"/>
      <x:c r="G6" s="46" t="n">
        <x:f>COUNTIFS('Keyword Plan'!K2:K422,"Gap",'Keyword Plan'!R2:R422,"A")+COUNTIFS('Keyword Plan'!K2:K422,"Gap",'Keyword Plan'!R2:R422,"B")</x:f>
        <x:v>0</x:v>
      </x:c>
      <x:c r="H6" s="44"/>
    </x:row>
    <x:row r="7">
      <x:c r="A7" s="44"/>
      <x:c r="B7" s="44"/>
      <x:c r="C7" s="44"/>
      <x:c r="D7" s="44"/>
      <x:c r="E7" s="44"/>
      <x:c r="F7" s="44"/>
      <x:c r="G7" s="44"/>
      <x:c r="H7" s="44"/>
    </x:row>
    <x:row r="8">
      <x:c r="A8" s="45" t="str">
        <x:v>Credits Authorized</x:v>
      </x:c>
      <x:c r="B8" s="45"/>
      <x:c r="C8" s="45" t="str">
        <x:v>Credits Used</x:v>
      </x:c>
      <x:c r="D8" s="45"/>
      <x:c r="E8" s="45" t="str">
        <x:v>Owned-Site Ranking Terms</x:v>
      </x:c>
      <x:c r="F8" s="45"/>
      <x:c r="G8" s="45" t="str">
        <x:v>Current Indexed URLs</x:v>
      </x:c>
      <x:c r="H8" s="45"/>
    </x:row>
    <x:row r="9">
      <x:c r="A9" s="46" t="n">
        <x:v>500</x:v>
      </x:c>
      <x:c r="B9" s="44"/>
      <x:c r="C9" s="46" t="n">
        <x:v>483</x:v>
      </x:c>
      <x:c r="D9" s="44"/>
      <x:c r="E9" s="46" t="n">
        <x:v>27</x:v>
      </x:c>
      <x:c r="F9" s="44"/>
      <x:c r="G9" s="46" t="n">
        <x:v>166</x:v>
      </x:c>
      <x:c r="H9" s="44"/>
    </x:row>
    <x:row r="10">
      <x:c r="A10" s="44"/>
      <x:c r="B10" s="44"/>
      <x:c r="C10" s="44"/>
      <x:c r="D10" s="44"/>
      <x:c r="E10" s="44"/>
      <x:c r="F10" s="44"/>
      <x:c r="G10" s="44"/>
      <x:c r="H10" s="44"/>
    </x:row>
    <x:row r="11">
      <x:c r="A11" s="44" t="str">
        <x:v>Target organic CTR</x:v>
      </x:c>
      <x:c r="B11" s="47" t="n">
        <x:v>0.1</x:v>
      </x:c>
      <x:c r="C11" s="44" t="str">
        <x:v>Qualified inquiry rate</x:v>
      </x:c>
      <x:c r="D11" s="47" t="n">
        <x:v>0.02</x:v>
      </x:c>
      <x:c r="E11" s="44" t="str">
        <x:v>Editable planning assumptions; estimated clicks and inquiries are scenarios, not forecasts.</x:v>
      </x:c>
      <x:c r="F11" s="44"/>
      <x:c r="G11" s="44"/>
      <x:c r="H11" s="44"/>
    </x:row>
    <x:row r="12">
      <x:c r="A12" s="44"/>
      <x:c r="B12" s="44"/>
      <x:c r="C12" s="44"/>
      <x:c r="D12" s="44"/>
      <x:c r="E12" s="44"/>
      <x:c r="F12" s="44"/>
      <x:c r="G12" s="44"/>
      <x:c r="H12" s="44"/>
    </x:row>
    <x:row r="13">
      <x:c r="A13" s="45" t="str">
        <x:v>Owned Domain</x:v>
      </x:c>
      <x:c r="B13" s="45" t="str">
        <x:v>Estimated US Traffic</x:v>
      </x:c>
      <x:c r="C13" s="45" t="str">
        <x:v>Top-30 Keywords</x:v>
      </x:c>
      <x:c r="D13" s="45" t="str">
        <x:v>Observation</x:v>
      </x:c>
      <x:c r="E13" s="44"/>
      <x:c r="F13" s="44"/>
      <x:c r="G13" s="44"/>
      <x:c r="H13" s="44"/>
    </x:row>
    <x:row r="14">
      <x:c r="A14" s="44" t="str">
        <x:v>rexrothreplacements.com</x:v>
      </x:c>
      <x:c r="B14" s="48" t="n">
        <x:v>2</x:v>
      </x:c>
      <x:c r="C14" s="48" t="n">
        <x:v>6</x:v>
      </x:c>
      <x:c r="D14" s="44" t="str">
        <x:v>Existing authority to preserve during consolidation</x:v>
      </x:c>
      <x:c r="E14" s="44"/>
      <x:c r="F14" s="44"/>
      <x:c r="G14" s="44"/>
      <x:c r="H14" s="44"/>
    </x:row>
    <x:row r="15">
      <x:c r="A15" s="44" t="str">
        <x:v>hydraulicpumpsupply.com</x:v>
      </x:c>
      <x:c r="B15" s="48" t="n">
        <x:v>0</x:v>
      </x:c>
      <x:c r="C15" s="48" t="n">
        <x:v>0</x:v>
      </x:c>
      <x:c r="D15" s="44" t="str">
        <x:v>No measurable US traffic returned in this snapshot</x:v>
      </x:c>
      <x:c r="E15" s="44"/>
      <x:c r="F15" s="44"/>
      <x:c r="G15" s="44"/>
      <x:c r="H15" s="44"/>
    </x:row>
    <x:row r="16">
      <x:c r="A16" s="44" t="str">
        <x:v>restopower.com</x:v>
      </x:c>
      <x:c r="B16" s="48" t="n">
        <x:v>0</x:v>
      </x:c>
      <x:c r="C16" s="48" t="n">
        <x:v>1</x:v>
      </x:c>
      <x:c r="D16" s="44" t="str">
        <x:v>No measurable US traffic returned in this snapshot</x:v>
      </x:c>
      <x:c r="E16" s="44"/>
      <x:c r="F16" s="44"/>
      <x:c r="G16" s="44"/>
      <x:c r="H16" s="44"/>
    </x:row>
    <x:row r="17">
      <x:c r="A17" s="44" t="str">
        <x:v>hydparts.com</x:v>
      </x:c>
      <x:c r="B17" s="48" t="n">
        <x:v>1700</x:v>
      </x:c>
      <x:c r="C17" s="48" t="n">
        <x:v>768</x:v>
      </x:c>
      <x:c r="D17" s="44" t="str">
        <x:v>Existing authority to preserve during consolidation</x:v>
      </x:c>
      <x:c r="E17" s="44"/>
      <x:c r="F17" s="44"/>
      <x:c r="G17" s="44"/>
      <x:c r="H17" s="44"/>
    </x:row>
    <x:row r="18">
      <x:c r="A18" s="44"/>
      <x:c r="B18" s="44"/>
      <x:c r="C18" s="44"/>
      <x:c r="D18" s="44"/>
      <x:c r="E18" s="44"/>
      <x:c r="F18" s="44"/>
      <x:c r="G18" s="44"/>
      <x:c r="H18" s="44"/>
    </x:row>
    <x:row r="19">
      <x:c r="A19" s="44"/>
      <x:c r="B19" s="44"/>
      <x:c r="C19" s="44"/>
      <x:c r="D19" s="44"/>
      <x:c r="E19" s="44"/>
      <x:c r="F19" s="44"/>
      <x:c r="G19" s="44"/>
      <x:c r="H19" s="44"/>
    </x:row>
    <x:row r="20">
      <x:c r="A20" s="45" t="str">
        <x:v>Top Priority Opportunities</x:v>
      </x:c>
      <x:c r="B20" s="45" t="str">
        <x:v>Volume</x:v>
      </x:c>
      <x:c r="C20" s="45" t="str">
        <x:v>CPC</x:v>
      </x:c>
      <x:c r="D20" s="45" t="str">
        <x:v>Intent</x:v>
      </x:c>
      <x:c r="E20" s="45" t="str">
        <x:v>Cluster</x:v>
      </x:c>
      <x:c r="F20" s="45" t="str">
        <x:v>Coverage</x:v>
      </x:c>
      <x:c r="G20" s="45" t="str">
        <x:v>Action</x:v>
      </x:c>
      <x:c r="H20" s="45" t="str">
        <x:v>Target URL</x:v>
      </x:c>
    </x:row>
    <x:row r="21">
      <x:c r="A21" s="44" t="str">
        <x:v>hydraulic cylinder manufacturer</x:v>
      </x:c>
      <x:c r="B21" s="48" t="n">
        <x:v>590</x:v>
      </x:c>
      <x:c r="C21" s="49" t="n">
        <x:v>1.85</x:v>
      </x:c>
      <x:c r="D21" s="44" t="str">
        <x:v>Transactional</x:v>
      </x:c>
      <x:c r="E21" s="44" t="str">
        <x:v>Hydraulic Cylinders</x:v>
      </x:c>
      <x:c r="F21" s="44" t="str">
        <x:v>Covered</x:v>
      </x:c>
      <x:c r="G21" s="44" t="str">
        <x:v>Optimize existing page</x:v>
      </x:c>
      <x:c r="H21" s="44" t="str">
        <x:v>/products/hydraulic-cylinders/</x:v>
      </x:c>
    </x:row>
    <x:row r="22">
      <x:c r="A22" s="44" t="str">
        <x:v>hydraulic cylinder supplier</x:v>
      </x:c>
      <x:c r="B22" s="48" t="n">
        <x:v>590</x:v>
      </x:c>
      <x:c r="C22" s="49" t="n">
        <x:v>1.85</x:v>
      </x:c>
      <x:c r="D22" s="44" t="str">
        <x:v>Transactional</x:v>
      </x:c>
      <x:c r="E22" s="44" t="str">
        <x:v>Hydraulic Cylinders</x:v>
      </x:c>
      <x:c r="F22" s="44" t="str">
        <x:v>Covered</x:v>
      </x:c>
      <x:c r="G22" s="44" t="str">
        <x:v>Optimize existing page</x:v>
      </x:c>
      <x:c r="H22" s="44" t="str">
        <x:v>/products/hydraulic-cylinders/</x:v>
      </x:c>
    </x:row>
    <x:row r="23">
      <x:c r="A23" s="44" t="str">
        <x:v>mcr replacement</x:v>
      </x:c>
      <x:c r="B23" s="48" t="n">
        <x:v>260</x:v>
      </x:c>
      <x:c r="C23" s="49" t="n">
        <x:v>2.19</x:v>
      </x:c>
      <x:c r="D23" s="44" t="str">
        <x:v>Commercial</x:v>
      </x:c>
      <x:c r="E23" s="44" t="str">
        <x:v>Replacement &amp; Cross-reference</x:v>
      </x:c>
      <x:c r="F23" s="44" t="str">
        <x:v>Covered</x:v>
      </x:c>
      <x:c r="G23" s="44" t="str">
        <x:v>Optimize existing page</x:v>
      </x:c>
      <x:c r="H23" s="44" t="str">
        <x:v>/series/mcr/</x:v>
      </x:c>
    </x:row>
    <x:row r="24">
      <x:c r="A24" s="44" t="str">
        <x:v>hydraulic motor distributor</x:v>
      </x:c>
      <x:c r="B24" s="48" t="n">
        <x:v>30</x:v>
      </x:c>
      <x:c r="C24" s="49" t="n">
        <x:v>5.51</x:v>
      </x:c>
      <x:c r="D24" s="44" t="str">
        <x:v>Transactional</x:v>
      </x:c>
      <x:c r="E24" s="44" t="str">
        <x:v>Hydraulic Motors</x:v>
      </x:c>
      <x:c r="F24" s="44" t="str">
        <x:v>Covered</x:v>
      </x:c>
      <x:c r="G24" s="44" t="str">
        <x:v>Optimize existing page</x:v>
      </x:c>
      <x:c r="H24" s="44" t="str">
        <x:v>/products/hydraulic-motors/</x:v>
      </x:c>
    </x:row>
    <x:row r="25">
      <x:c r="A25" s="44" t="str">
        <x:v>parker hydraulic pump</x:v>
      </x:c>
      <x:c r="B25" s="48" t="n">
        <x:v>1300</x:v>
      </x:c>
      <x:c r="C25" s="49" t="n">
        <x:v>1.24</x:v>
      </x:c>
      <x:c r="D25" s="44" t="str">
        <x:v>Product research</x:v>
      </x:c>
      <x:c r="E25" s="44" t="str">
        <x:v>Hydraulic Pumps</x:v>
      </x:c>
      <x:c r="F25" s="44" t="str">
        <x:v>Covered</x:v>
      </x:c>
      <x:c r="G25" s="44" t="str">
        <x:v>Optimize existing page</x:v>
      </x:c>
      <x:c r="H25" s="44" t="str">
        <x:v>/products/hydraulic-pumps/</x:v>
      </x:c>
    </x:row>
    <x:row r="26">
      <x:c r="A26" s="44" t="str">
        <x:v>hydraulic cylinder replacement</x:v>
      </x:c>
      <x:c r="B26" s="48" t="n">
        <x:v>320</x:v>
      </x:c>
      <x:c r="C26" s="49" t="n">
        <x:v>0.39</x:v>
      </x:c>
      <x:c r="D26" s="44" t="str">
        <x:v>Commercial</x:v>
      </x:c>
      <x:c r="E26" s="44" t="str">
        <x:v>Replacement &amp; Cross-reference</x:v>
      </x:c>
      <x:c r="F26" s="44" t="str">
        <x:v>Covered</x:v>
      </x:c>
      <x:c r="G26" s="44" t="str">
        <x:v>Optimize existing page</x:v>
      </x:c>
      <x:c r="H26" s="44" t="str">
        <x:v>/products/hydraulic-cylinders/</x:v>
      </x:c>
    </x:row>
    <x:row r="27">
      <x:c r="A27" s="44" t="str">
        <x:v>hydraulic seal kit</x:v>
      </x:c>
      <x:c r="B27" s="48" t="n">
        <x:v>320</x:v>
      </x:c>
      <x:c r="C27" s="49" t="n">
        <x:v>0.6</x:v>
      </x:c>
      <x:c r="D27" s="44" t="str">
        <x:v>Commercial</x:v>
      </x:c>
      <x:c r="E27" s="44" t="str">
        <x:v>Repair Kits &amp; Service Parts</x:v>
      </x:c>
      <x:c r="F27" s="44" t="str">
        <x:v>Covered</x:v>
      </x:c>
      <x:c r="G27" s="44" t="str">
        <x:v>Optimize existing page</x:v>
      </x:c>
      <x:c r="H27" s="44" t="str">
        <x:v>/products/hydraulic-repair-kits/</x:v>
      </x:c>
    </x:row>
    <x:row r="28">
      <x:c r="A28" s="44" t="str">
        <x:v>hydraulic pump manufacturer</x:v>
      </x:c>
      <x:c r="B28" s="48" t="n">
        <x:v>170</x:v>
      </x:c>
      <x:c r="C28" s="49" t="n">
        <x:v>1.57</x:v>
      </x:c>
      <x:c r="D28" s="44" t="str">
        <x:v>Transactional</x:v>
      </x:c>
      <x:c r="E28" s="44" t="str">
        <x:v>Hydraulic Pumps</x:v>
      </x:c>
      <x:c r="F28" s="44" t="str">
        <x:v>Covered</x:v>
      </x:c>
      <x:c r="G28" s="44" t="str">
        <x:v>Optimize existing page</x:v>
      </x:c>
      <x:c r="H28" s="44" t="str">
        <x:v>/products/hydraulic-pumps/</x:v>
      </x:c>
    </x:row>
    <x:row r="29">
      <x:c r="A29" s="44" t="str">
        <x:v>hydraulic pump supplier</x:v>
      </x:c>
      <x:c r="B29" s="48" t="n">
        <x:v>170</x:v>
      </x:c>
      <x:c r="C29" s="49" t="n">
        <x:v>1.57</x:v>
      </x:c>
      <x:c r="D29" s="44" t="str">
        <x:v>Transactional</x:v>
      </x:c>
      <x:c r="E29" s="44" t="str">
        <x:v>Hydraulic Pumps</x:v>
      </x:c>
      <x:c r="F29" s="44" t="str">
        <x:v>Covered</x:v>
      </x:c>
      <x:c r="G29" s="44" t="str">
        <x:v>Optimize existing page</x:v>
      </x:c>
      <x:c r="H29" s="44" t="str">
        <x:v>/products/hydraulic-pumps/</x:v>
      </x:c>
    </x:row>
    <x:row r="30">
      <x:c r="A30" s="44" t="str">
        <x:v>hydraulic pump price</x:v>
      </x:c>
      <x:c r="B30" s="48" t="n">
        <x:v>140</x:v>
      </x:c>
      <x:c r="C30" s="49" t="n">
        <x:v>1.24</x:v>
      </x:c>
      <x:c r="D30" s="44" t="str">
        <x:v>Transactional</x:v>
      </x:c>
      <x:c r="E30" s="44" t="str">
        <x:v>Hydraulic Pumps</x:v>
      </x:c>
      <x:c r="F30" s="44" t="str">
        <x:v>Covered</x:v>
      </x:c>
      <x:c r="G30" s="44" t="str">
        <x:v>Optimize existing page</x:v>
      </x:c>
      <x:c r="H30" s="44" t="str">
        <x:v>/products/hydraulic-pumps/</x:v>
      </x:c>
    </x:row>
    <x:row r="31">
      <x:c r="A31" s="44" t="str">
        <x:v>caterpillar hydraulic pump</x:v>
      </x:c>
      <x:c r="B31" s="48" t="n">
        <x:v>110</x:v>
      </x:c>
      <x:c r="C31" s="49" t="n">
        <x:v>1.07</x:v>
      </x:c>
      <x:c r="D31" s="44" t="str">
        <x:v>Product research</x:v>
      </x:c>
      <x:c r="E31" s="44" t="str">
        <x:v>Hydraulic Pumps</x:v>
      </x:c>
      <x:c r="F31" s="44" t="str">
        <x:v>Covered</x:v>
      </x:c>
      <x:c r="G31" s="44" t="str">
        <x:v>Optimize existing page</x:v>
      </x:c>
      <x:c r="H31" s="44" t="str">
        <x:v>/series/cat-piston-pump/</x:v>
      </x:c>
    </x:row>
    <x:row r="32">
      <x:c r="A32" s="44" t="str">
        <x:v>hydraulic valve manufacturer</x:v>
      </x:c>
      <x:c r="B32" s="48" t="n">
        <x:v>110</x:v>
      </x:c>
      <x:c r="C32" s="49" t="n">
        <x:v>1.19</x:v>
      </x:c>
      <x:c r="D32" s="44" t="str">
        <x:v>Transactional</x:v>
      </x:c>
      <x:c r="E32" s="44" t="str">
        <x:v>Hydraulic Valves</x:v>
      </x:c>
      <x:c r="F32" s="44" t="str">
        <x:v>Covered</x:v>
      </x:c>
      <x:c r="G32" s="44" t="str">
        <x:v>Optimize existing page</x:v>
      </x:c>
      <x:c r="H32" s="44" t="str">
        <x:v>/products/hydraulic-valves/</x:v>
      </x:c>
    </x:row>
    <x:row r="33">
      <x:c r="A33" s="44" t="str">
        <x:v>hydraulic valve supplier</x:v>
      </x:c>
      <x:c r="B33" s="48" t="n">
        <x:v>110</x:v>
      </x:c>
      <x:c r="C33" s="49" t="n">
        <x:v>1.19</x:v>
      </x:c>
      <x:c r="D33" s="44" t="str">
        <x:v>Transactional</x:v>
      </x:c>
      <x:c r="E33" s="44" t="str">
        <x:v>Hydraulic Valves</x:v>
      </x:c>
      <x:c r="F33" s="44" t="str">
        <x:v>Covered</x:v>
      </x:c>
      <x:c r="G33" s="44" t="str">
        <x:v>Optimize existing page</x:v>
      </x:c>
      <x:c r="H33" s="44" t="str">
        <x:v>/products/hydraulic-valves/</x:v>
      </x:c>
    </x:row>
    <x:row r="34">
      <x:c r="A34" s="44" t="str">
        <x:v>custom hydraulic cylinder manufacturer</x:v>
      </x:c>
      <x:c r="B34" s="48" t="n">
        <x:v>40</x:v>
      </x:c>
      <x:c r="C34" s="49" t="n">
        <x:v>2.62</x:v>
      </x:c>
      <x:c r="D34" s="44" t="str">
        <x:v>Transactional</x:v>
      </x:c>
      <x:c r="E34" s="44" t="str">
        <x:v>Hydraulic Cylinders</x:v>
      </x:c>
      <x:c r="F34" s="44" t="str">
        <x:v>Covered</x:v>
      </x:c>
      <x:c r="G34" s="44" t="str">
        <x:v>Optimize existing page</x:v>
      </x:c>
      <x:c r="H34" s="44" t="str">
        <x:v>/products/hydraulic-cylinders/custom-hydraulic-cylinders/</x:v>
      </x:c>
    </x:row>
    <x:row r="35">
      <x:c r="A35" s="44" t="str">
        <x:v>d1vw020bnjw</x:v>
      </x:c>
      <x:c r="B35" s="48" t="n">
        <x:v>40</x:v>
      </x:c>
      <x:c r="C35" s="49" t="n">
        <x:v>2.09</x:v>
      </x:c>
      <x:c r="D35" s="44" t="str">
        <x:v>Product research</x:v>
      </x:c>
      <x:c r="E35" s="44" t="str">
        <x:v>Technical / Other</x:v>
      </x:c>
      <x:c r="F35" s="44" t="str">
        <x:v>Covered</x:v>
      </x:c>
      <x:c r="G35" s="44" t="str">
        <x:v>Optimize existing page</x:v>
      </x:c>
      <x:c r="H35" s="44" t="str">
        <x:v>/models/parker-d1vw020bnjw/</x:v>
      </x:c>
    </x:row>
    <x:row r="36">
      <x:c r="A36" s="44"/>
      <x:c r="B36" s="44"/>
      <x:c r="C36" s="44"/>
      <x:c r="D36" s="44"/>
      <x:c r="E36" s="44"/>
      <x:c r="F36" s="44"/>
      <x:c r="G36" s="44"/>
      <x:c r="H36" s="44"/>
    </x:row>
    <x:row r="37">
      <x:c r="A37" s="44"/>
      <x:c r="B37" s="44"/>
      <x:c r="C37" s="44"/>
      <x:c r="D37" s="44"/>
      <x:c r="E37" s="44"/>
      <x:c r="F37" s="44"/>
      <x:c r="G37" s="44"/>
      <x:c r="H37" s="44"/>
    </x:row>
    <x:row r="38">
      <x:c r="A38" s="44"/>
      <x:c r="B38" s="44"/>
      <x:c r="C38" s="44"/>
      <x:c r="D38" s="44"/>
      <x:c r="E38" s="44"/>
      <x:c r="F38" s="44"/>
      <x:c r="G38" s="44"/>
      <x:c r="H38" s="44"/>
    </x:row>
    <x:row r="39">
      <x:c r="A39" s="44"/>
      <x:c r="B39" s="44"/>
      <x:c r="C39" s="44"/>
      <x:c r="D39" s="44"/>
      <x:c r="E39" s="44"/>
      <x:c r="F39" s="44"/>
      <x:c r="G39" s="44"/>
      <x:c r="H39" s="44"/>
    </x:row>
    <x:row r="40">
      <x:c r="A40" s="44"/>
      <x:c r="B40" s="44"/>
      <x:c r="C40" s="44"/>
      <x:c r="D40" s="44"/>
      <x:c r="E40" s="44"/>
      <x:c r="F40" s="44"/>
      <x:c r="G40" s="44"/>
      <x:c r="H40" s="44"/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" hidden="0" customWidth="1"/>
    <x:col min="3" max="3" width="11" hidden="0" customWidth="1"/>
    <x:col min="4" max="4" width="13" hidden="0" customWidth="1"/>
    <x:col min="5" max="5" width="11" hidden="0" customWidth="1"/>
    <x:col min="6" max="6" width="12" hidden="0" customWidth="1"/>
    <x:col min="7" max="7" width="16" hidden="0" customWidth="1"/>
    <x:col min="8" max="8" width="27" hidden="0" customWidth="1"/>
    <x:col min="9" max="9" width="12" hidden="0" customWidth="1"/>
    <x:col min="10" max="10" width="42" hidden="0" customWidth="1"/>
    <x:col min="11" max="11" width="10" hidden="0" customWidth="1"/>
    <x:col min="12" max="12" width="28" hidden="0" customWidth="1"/>
    <x:col min="13" max="13" width="23" hidden="0" customWidth="1"/>
    <x:col min="14" max="14" width="12" hidden="0" customWidth="1"/>
    <x:col min="15" max="15" width="11" hidden="0" customWidth="1"/>
    <x:col min="16" max="16" width="10" hidden="0" customWidth="1"/>
    <x:col min="17" max="17" width="12" hidden="0" customWidth="1"/>
    <x:col min="18" max="18" width="9" hidden="0" customWidth="1"/>
    <x:col min="19" max="19" width="17" hidden="0" customWidth="1"/>
    <x:col min="20" max="20" width="14" hidden="0" customWidth="1"/>
    <x:col min="21" max="21" width="48" hidden="0" customWidth="1"/>
  </x:cols>
  <x:sheetData>
    <x:row r="1" ht="34" customHeight="1">
      <x:c r="A1" s="6" t="str">
        <x:v>Keyword</x:v>
      </x:c>
      <x:c r="B1" s="6" t="str">
        <x:v>Volume</x:v>
      </x:c>
      <x:c r="C1" s="6" t="str">
        <x:v>CPC (USD)</x:v>
      </x:c>
      <x:c r="D1" s="6" t="str">
        <x:v>Ads Competition</x:v>
      </x:c>
      <x:c r="E1" s="6" t="str">
        <x:v>Latest Month</x:v>
      </x:c>
      <x:c r="F1" s="6" t="str">
        <x:v>Trend vs Avg</x:v>
      </x:c>
      <x:c r="G1" s="6" t="str">
        <x:v>Intent</x:v>
      </x:c>
      <x:c r="H1" s="6" t="str">
        <x:v>Cluster</x:v>
      </x:c>
      <x:c r="I1" s="6" t="str">
        <x:v>Relevance (1-5)</x:v>
      </x:c>
      <x:c r="J1" s="6" t="str">
        <x:v>Existing URL</x:v>
      </x:c>
      <x:c r="K1" s="6" t="str">
        <x:v>Coverage</x:v>
      </x:c>
      <x:c r="L1" s="6" t="str">
        <x:v>Recommended Action</x:v>
      </x:c>
      <x:c r="M1" s="6" t="str">
        <x:v>Page Type</x:v>
      </x:c>
      <x:c r="N1" s="6" t="str">
        <x:v>Business Value</x:v>
      </x:c>
      <x:c r="O1" s="6" t="str">
        <x:v>Volume Score</x:v>
      </x:c>
      <x:c r="P1" s="6" t="str">
        <x:v>CPC Score</x:v>
      </x:c>
      <x:c r="Q1" s="6" t="str">
        <x:v>Priority Score</x:v>
      </x:c>
      <x:c r="R1" s="6" t="str">
        <x:v>Priority</x:v>
      </x:c>
      <x:c r="S1" s="6" t="str">
        <x:v>Est. Clicks @ Target CTR</x:v>
      </x:c>
      <x:c r="T1" s="6" t="str">
        <x:v>Est. Inquiries</x:v>
      </x:c>
      <x:c r="U1" s="6" t="str">
        <x:v>Recommendation Note</x:v>
      </x:c>
    </x:row>
    <x:row r="2" ht="19" customHeight="1">
      <x:c r="A2" s="7" t="str">
        <x:v>hydraulic cylinder manufacturer</x:v>
      </x:c>
      <x:c r="B2" s="8" t="n">
        <x:v>590</x:v>
      </x:c>
      <x:c r="C2" s="9" t="n">
        <x:v>1.85</x:v>
      </x:c>
      <x:c r="D2" s="10" t="n">
        <x:v>0.27</x:v>
      </x:c>
      <x:c r="E2" s="8" t="n">
        <x:v>590</x:v>
      </x:c>
      <x:c r="F2" s="11" t="n">
        <x:v>-0.08645161290322587</x:v>
      </x:c>
      <x:c r="G2" s="7" t="str">
        <x:v>Transactional</x:v>
      </x:c>
      <x:c r="H2" s="7" t="str">
        <x:v>Hydraulic Cylinders</x:v>
      </x:c>
      <x:c r="I2" s="7" t="n">
        <x:v>5</x:v>
      </x:c>
      <x:c r="J2" s="7" t="str">
        <x:v>/products/hydraulic-cylinders/</x:v>
      </x:c>
      <x:c r="K2" s="7" t="str">
        <x:v>Covered</x:v>
      </x:c>
      <x:c r="L2" s="7" t="str">
        <x:v>Optimize existing page</x:v>
      </x:c>
      <x:c r="M2" s="7" t="str">
        <x:v>Product / category</x:v>
      </x:c>
      <x:c r="N2" s="7" t="n">
        <x:v>5</x:v>
      </x:c>
      <x:c r="O2" s="7" t="n">
        <x:f>IF(B2&gt;=1000,5,IF(B2&gt;=300,4,IF(B2&gt;=100,3,IF(B2&gt;=30,2,IF(B2&gt;=10,1,0)))))</x:f>
        <x:v>4</x:v>
      </x:c>
      <x:c r="P2" s="7" t="n">
        <x:f>IF(C2&gt;=5,4,IF(C2&gt;=2,3,IF(C2&gt;=1,2,IF(C2&gt;0,1,0))))</x:f>
        <x:v>2</x:v>
      </x:c>
      <x:c r="Q2" s="7" t="n">
        <x:f>N2*2+O2+P2+IF(F2&gt;=0.2,1,0)+IF(K2="Gap",2,0)-IF(I2&lt;=2,5,0)</x:f>
        <x:v>16</x:v>
      </x:c>
      <x:c r="R2" s="7" t="str">
        <x:f>IF(I2&lt;=2,"D",IF(Q2&gt;=15,"A",IF(Q2&gt;=11,"B",IF(Q2&gt;=7,"C","D"))))</x:f>
        <x:v>A</x:v>
      </x:c>
      <x:c r="S2" s="12" t="n">
        <x:f>B2*'Dashboard'!$B$11</x:f>
        <x:v>59</x:v>
      </x:c>
      <x:c r="T2" s="10" t="n">
        <x:f>S2*'Dashboard'!$D$11</x:f>
        <x:v>1.18</x:v>
      </x:c>
      <x:c r="U2" s="7" t="str">
        <x:v>Align title, evidence, internal links and RFQ CTA with this search intent.</x:v>
      </x:c>
    </x:row>
    <x:row r="3" ht="19" customHeight="1">
      <x:c r="A3" s="7" t="str">
        <x:v>hydraulic cylinder supplier</x:v>
      </x:c>
      <x:c r="B3" s="8" t="n">
        <x:v>590</x:v>
      </x:c>
      <x:c r="C3" s="9" t="n">
        <x:v>1.85</x:v>
      </x:c>
      <x:c r="D3" s="10" t="n">
        <x:v>0.27</x:v>
      </x:c>
      <x:c r="E3" s="8" t="n">
        <x:v>590</x:v>
      </x:c>
      <x:c r="F3" s="11" t="n">
        <x:v>-0.08645161290322587</x:v>
      </x:c>
      <x:c r="G3" s="7" t="str">
        <x:v>Transactional</x:v>
      </x:c>
      <x:c r="H3" s="7" t="str">
        <x:v>Hydraulic Cylinders</x:v>
      </x:c>
      <x:c r="I3" s="7" t="n">
        <x:v>5</x:v>
      </x:c>
      <x:c r="J3" s="7" t="str">
        <x:v>/products/hydraulic-cylinders/</x:v>
      </x:c>
      <x:c r="K3" s="7" t="str">
        <x:v>Covered</x:v>
      </x:c>
      <x:c r="L3" s="7" t="str">
        <x:v>Optimize existing page</x:v>
      </x:c>
      <x:c r="M3" s="7" t="str">
        <x:v>Product / category</x:v>
      </x:c>
      <x:c r="N3" s="7" t="n">
        <x:v>5</x:v>
      </x:c>
      <x:c r="O3" s="7" t="n">
        <x:f>IF(B3&gt;=1000,5,IF(B3&gt;=300,4,IF(B3&gt;=100,3,IF(B3&gt;=30,2,IF(B3&gt;=10,1,0)))))</x:f>
        <x:v>4</x:v>
      </x:c>
      <x:c r="P3" s="7" t="n">
        <x:f>IF(C3&gt;=5,4,IF(C3&gt;=2,3,IF(C3&gt;=1,2,IF(C3&gt;0,1,0))))</x:f>
        <x:v>2</x:v>
      </x:c>
      <x:c r="Q3" s="7" t="n">
        <x:f>N3*2+O3+P3+IF(F3&gt;=0.2,1,0)+IF(K3="Gap",2,0)-IF(I3&lt;=2,5,0)</x:f>
        <x:v>16</x:v>
      </x:c>
      <x:c r="R3" s="7" t="str">
        <x:f>IF(I3&lt;=2,"D",IF(Q3&gt;=15,"A",IF(Q3&gt;=11,"B",IF(Q3&gt;=7,"C","D"))))</x:f>
        <x:v>A</x:v>
      </x:c>
      <x:c r="S3" s="12" t="n">
        <x:f>B3*'Dashboard'!$B$11</x:f>
        <x:v>59</x:v>
      </x:c>
      <x:c r="T3" s="10" t="n">
        <x:f>S3*'Dashboard'!$D$11</x:f>
        <x:v>1.18</x:v>
      </x:c>
      <x:c r="U3" s="7" t="str">
        <x:v>Align title, evidence, internal links and RFQ CTA with this search intent.</x:v>
      </x:c>
    </x:row>
    <x:row r="4" ht="19" customHeight="1">
      <x:c r="A4" s="7" t="str">
        <x:v>mcr replacement</x:v>
      </x:c>
      <x:c r="B4" s="8" t="n">
        <x:v>260</x:v>
      </x:c>
      <x:c r="C4" s="9" t="n">
        <x:v>2.19</x:v>
      </x:c>
      <x:c r="D4" s="10" t="n">
        <x:v>0.19</x:v>
      </x:c>
      <x:c r="E4" s="8" t="n">
        <x:v>170</x:v>
      </x:c>
      <x:c r="F4" s="11" t="n">
        <x:v>-0.32</x:v>
      </x:c>
      <x:c r="G4" s="7" t="str">
        <x:v>Commercial</x:v>
      </x:c>
      <x:c r="H4" s="7" t="str">
        <x:v>Replacement &amp; Cross-reference</x:v>
      </x:c>
      <x:c r="I4" s="7" t="n">
        <x:v>5</x:v>
      </x:c>
      <x:c r="J4" s="7" t="str">
        <x:v>/series/mcr/</x:v>
      </x:c>
      <x:c r="K4" s="7" t="str">
        <x:v>Covered</x:v>
      </x:c>
      <x:c r="L4" s="7" t="str">
        <x:v>Optimize existing page</x:v>
      </x:c>
      <x:c r="M4" s="7" t="str">
        <x:v>Series hub</x:v>
      </x:c>
      <x:c r="N4" s="7" t="n">
        <x:v>5</x:v>
      </x:c>
      <x:c r="O4" s="7" t="n">
        <x:f>IF(B4&gt;=1000,5,IF(B4&gt;=300,4,IF(B4&gt;=100,3,IF(B4&gt;=30,2,IF(B4&gt;=10,1,0)))))</x:f>
        <x:v>3</x:v>
      </x:c>
      <x:c r="P4" s="7" t="n">
        <x:f>IF(C4&gt;=5,4,IF(C4&gt;=2,3,IF(C4&gt;=1,2,IF(C4&gt;0,1,0))))</x:f>
        <x:v>3</x:v>
      </x:c>
      <x:c r="Q4" s="7" t="n">
        <x:f>N4*2+O4+P4+IF(F4&gt;=0.2,1,0)+IF(K4="Gap",2,0)-IF(I4&lt;=2,5,0)</x:f>
        <x:v>16</x:v>
      </x:c>
      <x:c r="R4" s="7" t="str">
        <x:f>IF(I4&lt;=2,"D",IF(Q4&gt;=15,"A",IF(Q4&gt;=11,"B",IF(Q4&gt;=7,"C","D"))))</x:f>
        <x:v>A</x:v>
      </x:c>
      <x:c r="S4" s="12" t="n">
        <x:f>B4*'Dashboard'!$B$11</x:f>
        <x:v>26</x:v>
      </x:c>
      <x:c r="T4" s="10" t="n">
        <x:f>S4*'Dashboard'!$D$11</x:f>
        <x:v>0.52</x:v>
      </x:c>
      <x:c r="U4" s="7" t="str">
        <x:v>Align title, evidence, internal links and RFQ CTA with this search intent.</x:v>
      </x:c>
    </x:row>
    <x:row r="5" ht="19" customHeight="1">
      <x:c r="A5" s="7" t="str">
        <x:v>hydraulic motor distributor</x:v>
      </x:c>
      <x:c r="B5" s="8" t="n">
        <x:v>30</x:v>
      </x:c>
      <x:c r="C5" s="9" t="n">
        <x:v>5.51</x:v>
      </x:c>
      <x:c r="D5" s="10" t="n">
        <x:v>1</x:v>
      </x:c>
      <x:c r="E5" s="8" t="n">
        <x:v>10</x:v>
      </x:c>
      <x:c r="F5" s="11" t="n">
        <x:v>-0.6363636363636364</x:v>
      </x:c>
      <x:c r="G5" s="7" t="str">
        <x:v>Transactional</x:v>
      </x:c>
      <x:c r="H5" s="7" t="str">
        <x:v>Hydraulic Motors</x:v>
      </x:c>
      <x:c r="I5" s="7" t="n">
        <x:v>5</x:v>
      </x:c>
      <x:c r="J5" s="7" t="str">
        <x:v>/products/hydraulic-motors/</x:v>
      </x:c>
      <x:c r="K5" s="7" t="str">
        <x:v>Covered</x:v>
      </x:c>
      <x:c r="L5" s="7" t="str">
        <x:v>Optimize existing page</x:v>
      </x:c>
      <x:c r="M5" s="7" t="str">
        <x:v>Product / category</x:v>
      </x:c>
      <x:c r="N5" s="7" t="n">
        <x:v>5</x:v>
      </x:c>
      <x:c r="O5" s="7" t="n">
        <x:f>IF(B5&gt;=1000,5,IF(B5&gt;=300,4,IF(B5&gt;=100,3,IF(B5&gt;=30,2,IF(B5&gt;=10,1,0)))))</x:f>
        <x:v>2</x:v>
      </x:c>
      <x:c r="P5" s="7" t="n">
        <x:f>IF(C5&gt;=5,4,IF(C5&gt;=2,3,IF(C5&gt;=1,2,IF(C5&gt;0,1,0))))</x:f>
        <x:v>4</x:v>
      </x:c>
      <x:c r="Q5" s="7" t="n">
        <x:f>N5*2+O5+P5+IF(F5&gt;=0.2,1,0)+IF(K5="Gap",2,0)-IF(I5&lt;=2,5,0)</x:f>
        <x:v>16</x:v>
      </x:c>
      <x:c r="R5" s="7" t="str">
        <x:f>IF(I5&lt;=2,"D",IF(Q5&gt;=15,"A",IF(Q5&gt;=11,"B",IF(Q5&gt;=7,"C","D"))))</x:f>
        <x:v>A</x:v>
      </x:c>
      <x:c r="S5" s="12" t="n">
        <x:f>B5*'Dashboard'!$B$11</x:f>
        <x:v>3</x:v>
      </x:c>
      <x:c r="T5" s="10" t="n">
        <x:f>S5*'Dashboard'!$D$11</x:f>
        <x:v>0.06</x:v>
      </x:c>
      <x:c r="U5" s="7" t="str">
        <x:v>Align title, evidence, internal links and RFQ CTA with this search intent.</x:v>
      </x:c>
    </x:row>
    <x:row r="6" ht="19" customHeight="1">
      <x:c r="A6" s="7" t="str">
        <x:v>parker hydraulic pump</x:v>
      </x:c>
      <x:c r="B6" s="8" t="n">
        <x:v>1300</x:v>
      </x:c>
      <x:c r="C6" s="9" t="n">
        <x:v>1.24</x:v>
      </x:c>
      <x:c r="D6" s="10" t="n">
        <x:v>0.98</x:v>
      </x:c>
      <x:c r="E6" s="8" t="n">
        <x:v>1300</x:v>
      </x:c>
      <x:c r="F6" s="11" t="n">
        <x:v>-0.047619047619047616</x:v>
      </x:c>
      <x:c r="G6" s="7" t="str">
        <x:v>Product research</x:v>
      </x:c>
      <x:c r="H6" s="7" t="str">
        <x:v>Hydraulic Pumps</x:v>
      </x:c>
      <x:c r="I6" s="7" t="n">
        <x:v>5</x:v>
      </x:c>
      <x:c r="J6" s="7" t="str">
        <x:v>/products/hydraulic-pumps/</x:v>
      </x:c>
      <x:c r="K6" s="7" t="str">
        <x:v>Covered</x:v>
      </x:c>
      <x:c r="L6" s="7" t="str">
        <x:v>Optimize existing page</x:v>
      </x:c>
      <x:c r="M6" s="7" t="str">
        <x:v>Product / category</x:v>
      </x:c>
      <x:c r="N6" s="7" t="n">
        <x:v>4</x:v>
      </x:c>
      <x:c r="O6" s="7" t="n">
        <x:f>IF(B6&gt;=1000,5,IF(B6&gt;=300,4,IF(B6&gt;=100,3,IF(B6&gt;=30,2,IF(B6&gt;=10,1,0)))))</x:f>
        <x:v>5</x:v>
      </x:c>
      <x:c r="P6" s="7" t="n">
        <x:f>IF(C6&gt;=5,4,IF(C6&gt;=2,3,IF(C6&gt;=1,2,IF(C6&gt;0,1,0))))</x:f>
        <x:v>2</x:v>
      </x:c>
      <x:c r="Q6" s="7" t="n">
        <x:f>N6*2+O6+P6+IF(F6&gt;=0.2,1,0)+IF(K6="Gap",2,0)-IF(I6&lt;=2,5,0)</x:f>
        <x:v>15</x:v>
      </x:c>
      <x:c r="R6" s="7" t="str">
        <x:f>IF(I6&lt;=2,"D",IF(Q6&gt;=15,"A",IF(Q6&gt;=11,"B",IF(Q6&gt;=7,"C","D"))))</x:f>
        <x:v>A</x:v>
      </x:c>
      <x:c r="S6" s="12" t="n">
        <x:f>B6*'Dashboard'!$B$11</x:f>
        <x:v>130</x:v>
      </x:c>
      <x:c r="T6" s="10" t="n">
        <x:f>S6*'Dashboard'!$D$11</x:f>
        <x:v>2.6</x:v>
      </x:c>
      <x:c r="U6" s="7" t="str">
        <x:v>Align title, evidence, internal links and RFQ CTA with this search intent.</x:v>
      </x:c>
    </x:row>
    <x:row r="7" ht="19" customHeight="1">
      <x:c r="A7" s="7" t="str">
        <x:v>hydraulic cylinder replacement</x:v>
      </x:c>
      <x:c r="B7" s="8" t="n">
        <x:v>320</x:v>
      </x:c>
      <x:c r="C7" s="9" t="n">
        <x:v>0.39</x:v>
      </x:c>
      <x:c r="D7" s="10" t="n">
        <x:v>0.99</x:v>
      </x:c>
      <x:c r="E7" s="8" t="n">
        <x:v>320</x:v>
      </x:c>
      <x:c r="F7" s="11" t="n">
        <x:v>0.021276595744680913</x:v>
      </x:c>
      <x:c r="G7" s="7" t="str">
        <x:v>Commercial</x:v>
      </x:c>
      <x:c r="H7" s="7" t="str">
        <x:v>Replacement &amp; Cross-reference</x:v>
      </x:c>
      <x:c r="I7" s="7" t="n">
        <x:v>5</x:v>
      </x:c>
      <x:c r="J7" s="7" t="str">
        <x:v>/products/hydraulic-cylinders/</x:v>
      </x:c>
      <x:c r="K7" s="7" t="str">
        <x:v>Covered</x:v>
      </x:c>
      <x:c r="L7" s="7" t="str">
        <x:v>Optimize existing page</x:v>
      </x:c>
      <x:c r="M7" s="7" t="str">
        <x:v>Alternative / cross-reference</x:v>
      </x:c>
      <x:c r="N7" s="7" t="n">
        <x:v>5</x:v>
      </x:c>
      <x:c r="O7" s="7" t="n">
        <x:f>IF(B7&gt;=1000,5,IF(B7&gt;=300,4,IF(B7&gt;=100,3,IF(B7&gt;=30,2,IF(B7&gt;=10,1,0)))))</x:f>
        <x:v>4</x:v>
      </x:c>
      <x:c r="P7" s="7" t="n">
        <x:f>IF(C7&gt;=5,4,IF(C7&gt;=2,3,IF(C7&gt;=1,2,IF(C7&gt;0,1,0))))</x:f>
        <x:v>1</x:v>
      </x:c>
      <x:c r="Q7" s="7" t="n">
        <x:f>N7*2+O7+P7+IF(F7&gt;=0.2,1,0)+IF(K7="Gap",2,0)-IF(I7&lt;=2,5,0)</x:f>
        <x:v>15</x:v>
      </x:c>
      <x:c r="R7" s="7" t="str">
        <x:f>IF(I7&lt;=2,"D",IF(Q7&gt;=15,"A",IF(Q7&gt;=11,"B",IF(Q7&gt;=7,"C","D"))))</x:f>
        <x:v>A</x:v>
      </x:c>
      <x:c r="S7" s="12" t="n">
        <x:f>B7*'Dashboard'!$B$11</x:f>
        <x:v>32</x:v>
      </x:c>
      <x:c r="T7" s="10" t="n">
        <x:f>S7*'Dashboard'!$D$11</x:f>
        <x:v>0.64</x:v>
      </x:c>
      <x:c r="U7" s="7" t="str">
        <x:v>Align title, evidence, internal links and RFQ CTA with this search intent.</x:v>
      </x:c>
    </x:row>
    <x:row r="8" ht="19" customHeight="1">
      <x:c r="A8" s="7" t="str">
        <x:v>hydraulic seal kit</x:v>
      </x:c>
      <x:c r="B8" s="8" t="n">
        <x:v>320</x:v>
      </x:c>
      <x:c r="C8" s="9" t="n">
        <x:v>0.6</x:v>
      </x:c>
      <x:c r="D8" s="10" t="n">
        <x:v>1</x:v>
      </x:c>
      <x:c r="E8" s="8" t="n">
        <x:v>320</x:v>
      </x:c>
      <x:c r="F8" s="11" t="n">
        <x:v>-0.005181347150259126</x:v>
      </x:c>
      <x:c r="G8" s="7" t="str">
        <x:v>Commercial</x:v>
      </x:c>
      <x:c r="H8" s="7" t="str">
        <x:v>Repair Kits &amp; Service Parts</x:v>
      </x:c>
      <x:c r="I8" s="7" t="n">
        <x:v>5</x:v>
      </x:c>
      <x:c r="J8" s="7" t="str">
        <x:v>/products/hydraulic-repair-kits/</x:v>
      </x:c>
      <x:c r="K8" s="7" t="str">
        <x:v>Covered</x:v>
      </x:c>
      <x:c r="L8" s="7" t="str">
        <x:v>Optimize existing page</x:v>
      </x:c>
      <x:c r="M8" s="7" t="str">
        <x:v>Product / category</x:v>
      </x:c>
      <x:c r="N8" s="7" t="n">
        <x:v>5</x:v>
      </x:c>
      <x:c r="O8" s="7" t="n">
        <x:f>IF(B8&gt;=1000,5,IF(B8&gt;=300,4,IF(B8&gt;=100,3,IF(B8&gt;=30,2,IF(B8&gt;=10,1,0)))))</x:f>
        <x:v>4</x:v>
      </x:c>
      <x:c r="P8" s="7" t="n">
        <x:f>IF(C8&gt;=5,4,IF(C8&gt;=2,3,IF(C8&gt;=1,2,IF(C8&gt;0,1,0))))</x:f>
        <x:v>1</x:v>
      </x:c>
      <x:c r="Q8" s="7" t="n">
        <x:f>N8*2+O8+P8+IF(F8&gt;=0.2,1,0)+IF(K8="Gap",2,0)-IF(I8&lt;=2,5,0)</x:f>
        <x:v>15</x:v>
      </x:c>
      <x:c r="R8" s="7" t="str">
        <x:f>IF(I8&lt;=2,"D",IF(Q8&gt;=15,"A",IF(Q8&gt;=11,"B",IF(Q8&gt;=7,"C","D"))))</x:f>
        <x:v>A</x:v>
      </x:c>
      <x:c r="S8" s="12" t="n">
        <x:f>B8*'Dashboard'!$B$11</x:f>
        <x:v>32</x:v>
      </x:c>
      <x:c r="T8" s="10" t="n">
        <x:f>S8*'Dashboard'!$D$11</x:f>
        <x:v>0.64</x:v>
      </x:c>
      <x:c r="U8" s="7" t="str">
        <x:v>Align title, evidence, internal links and RFQ CTA with this search intent.</x:v>
      </x:c>
    </x:row>
    <x:row r="9" ht="19" customHeight="1">
      <x:c r="A9" s="7" t="str">
        <x:v>hydraulic pump manufacturer</x:v>
      </x:c>
      <x:c r="B9" s="8" t="n">
        <x:v>170</x:v>
      </x:c>
      <x:c r="C9" s="9" t="n">
        <x:v>1.57</x:v>
      </x:c>
      <x:c r="D9" s="10" t="n">
        <x:v>0.6</x:v>
      </x:c>
      <x:c r="E9" s="8" t="n">
        <x:v>110</x:v>
      </x:c>
      <x:c r="F9" s="11" t="n">
        <x:v>-0.37142857142857144</x:v>
      </x:c>
      <x:c r="G9" s="7" t="str">
        <x:v>Transactional</x:v>
      </x:c>
      <x:c r="H9" s="7" t="str">
        <x:v>Hydraulic Pumps</x:v>
      </x:c>
      <x:c r="I9" s="7" t="n">
        <x:v>5</x:v>
      </x:c>
      <x:c r="J9" s="7" t="str">
        <x:v>/products/hydraulic-pumps/</x:v>
      </x:c>
      <x:c r="K9" s="7" t="str">
        <x:v>Covered</x:v>
      </x:c>
      <x:c r="L9" s="7" t="str">
        <x:v>Optimize existing page</x:v>
      </x:c>
      <x:c r="M9" s="7" t="str">
        <x:v>Product / category</x:v>
      </x:c>
      <x:c r="N9" s="7" t="n">
        <x:v>5</x:v>
      </x:c>
      <x:c r="O9" s="7" t="n">
        <x:f>IF(B9&gt;=1000,5,IF(B9&gt;=300,4,IF(B9&gt;=100,3,IF(B9&gt;=30,2,IF(B9&gt;=10,1,0)))))</x:f>
        <x:v>3</x:v>
      </x:c>
      <x:c r="P9" s="7" t="n">
        <x:f>IF(C9&gt;=5,4,IF(C9&gt;=2,3,IF(C9&gt;=1,2,IF(C9&gt;0,1,0))))</x:f>
        <x:v>2</x:v>
      </x:c>
      <x:c r="Q9" s="7" t="n">
        <x:f>N9*2+O9+P9+IF(F9&gt;=0.2,1,0)+IF(K9="Gap",2,0)-IF(I9&lt;=2,5,0)</x:f>
        <x:v>15</x:v>
      </x:c>
      <x:c r="R9" s="7" t="str">
        <x:f>IF(I9&lt;=2,"D",IF(Q9&gt;=15,"A",IF(Q9&gt;=11,"B",IF(Q9&gt;=7,"C","D"))))</x:f>
        <x:v>A</x:v>
      </x:c>
      <x:c r="S9" s="12" t="n">
        <x:f>B9*'Dashboard'!$B$11</x:f>
        <x:v>17</x:v>
      </x:c>
      <x:c r="T9" s="10" t="n">
        <x:f>S9*'Dashboard'!$D$11</x:f>
        <x:v>0.34</x:v>
      </x:c>
      <x:c r="U9" s="7" t="str">
        <x:v>Align title, evidence, internal links and RFQ CTA with this search intent.</x:v>
      </x:c>
    </x:row>
    <x:row r="10" ht="19" customHeight="1">
      <x:c r="A10" s="7" t="str">
        <x:v>hydraulic pump supplier</x:v>
      </x:c>
      <x:c r="B10" s="8" t="n">
        <x:v>170</x:v>
      </x:c>
      <x:c r="C10" s="9" t="n">
        <x:v>1.57</x:v>
      </x:c>
      <x:c r="D10" s="10" t="n">
        <x:v>0.6</x:v>
      </x:c>
      <x:c r="E10" s="8" t="n">
        <x:v>110</x:v>
      </x:c>
      <x:c r="F10" s="11" t="n">
        <x:v>-0.37142857142857144</x:v>
      </x:c>
      <x:c r="G10" s="7" t="str">
        <x:v>Transactional</x:v>
      </x:c>
      <x:c r="H10" s="7" t="str">
        <x:v>Hydraulic Pumps</x:v>
      </x:c>
      <x:c r="I10" s="7" t="n">
        <x:v>5</x:v>
      </x:c>
      <x:c r="J10" s="7" t="str">
        <x:v>/products/hydraulic-pumps/</x:v>
      </x:c>
      <x:c r="K10" s="7" t="str">
        <x:v>Covered</x:v>
      </x:c>
      <x:c r="L10" s="7" t="str">
        <x:v>Optimize existing page</x:v>
      </x:c>
      <x:c r="M10" s="7" t="str">
        <x:v>Product / category</x:v>
      </x:c>
      <x:c r="N10" s="7" t="n">
        <x:v>5</x:v>
      </x:c>
      <x:c r="O10" s="7" t="n">
        <x:f>IF(B10&gt;=1000,5,IF(B10&gt;=300,4,IF(B10&gt;=100,3,IF(B10&gt;=30,2,IF(B10&gt;=10,1,0)))))</x:f>
        <x:v>3</x:v>
      </x:c>
      <x:c r="P10" s="7" t="n">
        <x:f>IF(C10&gt;=5,4,IF(C10&gt;=2,3,IF(C10&gt;=1,2,IF(C10&gt;0,1,0))))</x:f>
        <x:v>2</x:v>
      </x:c>
      <x:c r="Q10" s="7" t="n">
        <x:f>N10*2+O10+P10+IF(F10&gt;=0.2,1,0)+IF(K10="Gap",2,0)-IF(I10&lt;=2,5,0)</x:f>
        <x:v>15</x:v>
      </x:c>
      <x:c r="R10" s="7" t="str">
        <x:f>IF(I10&lt;=2,"D",IF(Q10&gt;=15,"A",IF(Q10&gt;=11,"B",IF(Q10&gt;=7,"C","D"))))</x:f>
        <x:v>A</x:v>
      </x:c>
      <x:c r="S10" s="12" t="n">
        <x:f>B10*'Dashboard'!$B$11</x:f>
        <x:v>17</x:v>
      </x:c>
      <x:c r="T10" s="10" t="n">
        <x:f>S10*'Dashboard'!$D$11</x:f>
        <x:v>0.34</x:v>
      </x:c>
      <x:c r="U10" s="7" t="str">
        <x:v>Align title, evidence, internal links and RFQ CTA with this search intent.</x:v>
      </x:c>
    </x:row>
    <x:row r="11" ht="19" customHeight="1">
      <x:c r="A11" s="7" t="str">
        <x:v>hydraulic pump price</x:v>
      </x:c>
      <x:c r="B11" s="8" t="n">
        <x:v>140</x:v>
      </x:c>
      <x:c r="C11" s="9" t="n">
        <x:v>1.24</x:v>
      </x:c>
      <x:c r="D11" s="10" t="n">
        <x:v>0.63</x:v>
      </x:c>
      <x:c r="E11" s="8" t="n">
        <x:v>90</x:v>
      </x:c>
      <x:c r="F11" s="11" t="n">
        <x:v>-0.28476821192052976</x:v>
      </x:c>
      <x:c r="G11" s="7" t="str">
        <x:v>Transactional</x:v>
      </x:c>
      <x:c r="H11" s="7" t="str">
        <x:v>Hydraulic Pumps</x:v>
      </x:c>
      <x:c r="I11" s="7" t="n">
        <x:v>5</x:v>
      </x:c>
      <x:c r="J11" s="7" t="str">
        <x:v>/products/hydraulic-pumps/</x:v>
      </x:c>
      <x:c r="K11" s="7" t="str">
        <x:v>Covered</x:v>
      </x:c>
      <x:c r="L11" s="7" t="str">
        <x:v>Optimize existing page</x:v>
      </x:c>
      <x:c r="M11" s="7" t="str">
        <x:v>Product / category</x:v>
      </x:c>
      <x:c r="N11" s="7" t="n">
        <x:v>5</x:v>
      </x:c>
      <x:c r="O11" s="7" t="n">
        <x:f>IF(B11&gt;=1000,5,IF(B11&gt;=300,4,IF(B11&gt;=100,3,IF(B11&gt;=30,2,IF(B11&gt;=10,1,0)))))</x:f>
        <x:v>3</x:v>
      </x:c>
      <x:c r="P11" s="7" t="n">
        <x:f>IF(C11&gt;=5,4,IF(C11&gt;=2,3,IF(C11&gt;=1,2,IF(C11&gt;0,1,0))))</x:f>
        <x:v>2</x:v>
      </x:c>
      <x:c r="Q11" s="7" t="n">
        <x:f>N11*2+O11+P11+IF(F11&gt;=0.2,1,0)+IF(K11="Gap",2,0)-IF(I11&lt;=2,5,0)</x:f>
        <x:v>15</x:v>
      </x:c>
      <x:c r="R11" s="7" t="str">
        <x:f>IF(I11&lt;=2,"D",IF(Q11&gt;=15,"A",IF(Q11&gt;=11,"B",IF(Q11&gt;=7,"C","D"))))</x:f>
        <x:v>A</x:v>
      </x:c>
      <x:c r="S11" s="12" t="n">
        <x:f>B11*'Dashboard'!$B$11</x:f>
        <x:v>14</x:v>
      </x:c>
      <x:c r="T11" s="10" t="n">
        <x:f>S11*'Dashboard'!$D$11</x:f>
        <x:v>0.28</x:v>
      </x:c>
      <x:c r="U11" s="7" t="str">
        <x:v>Align title, evidence, internal links and RFQ CTA with this search intent.</x:v>
      </x:c>
    </x:row>
    <x:row r="12" ht="19" customHeight="1">
      <x:c r="A12" s="7" t="str">
        <x:v>caterpillar hydraulic pump</x:v>
      </x:c>
      <x:c r="B12" s="8" t="n">
        <x:v>110</x:v>
      </x:c>
      <x:c r="C12" s="9" t="n">
        <x:v>1.07</x:v>
      </x:c>
      <x:c r="D12" s="10" t="n">
        <x:v>0.92</x:v>
      </x:c>
      <x:c r="E12" s="8" t="n">
        <x:v>50</x:v>
      </x:c>
      <x:c r="F12" s="11" t="n">
        <x:v>-0.5652173913043478</x:v>
      </x:c>
      <x:c r="G12" s="7" t="str">
        <x:v>Product research</x:v>
      </x:c>
      <x:c r="H12" s="7" t="str">
        <x:v>Hydraulic Pumps</x:v>
      </x:c>
      <x:c r="I12" s="7" t="n">
        <x:v>5</x:v>
      </x:c>
      <x:c r="J12" s="7" t="str">
        <x:v>/series/cat-piston-pump/</x:v>
      </x:c>
      <x:c r="K12" s="7" t="str">
        <x:v>Covered</x:v>
      </x:c>
      <x:c r="L12" s="7" t="str">
        <x:v>Optimize existing page</x:v>
      </x:c>
      <x:c r="M12" s="7" t="str">
        <x:v>Series hub</x:v>
      </x:c>
      <x:c r="N12" s="7" t="n">
        <x:v>5</x:v>
      </x:c>
      <x:c r="O12" s="7" t="n">
        <x:f>IF(B12&gt;=1000,5,IF(B12&gt;=300,4,IF(B12&gt;=100,3,IF(B12&gt;=30,2,IF(B12&gt;=10,1,0)))))</x:f>
        <x:v>3</x:v>
      </x:c>
      <x:c r="P12" s="7" t="n">
        <x:f>IF(C12&gt;=5,4,IF(C12&gt;=2,3,IF(C12&gt;=1,2,IF(C12&gt;0,1,0))))</x:f>
        <x:v>2</x:v>
      </x:c>
      <x:c r="Q12" s="7" t="n">
        <x:f>N12*2+O12+P12+IF(F12&gt;=0.2,1,0)+IF(K12="Gap",2,0)-IF(I12&lt;=2,5,0)</x:f>
        <x:v>15</x:v>
      </x:c>
      <x:c r="R12" s="7" t="str">
        <x:f>IF(I12&lt;=2,"D",IF(Q12&gt;=15,"A",IF(Q12&gt;=11,"B",IF(Q12&gt;=7,"C","D"))))</x:f>
        <x:v>A</x:v>
      </x:c>
      <x:c r="S12" s="12" t="n">
        <x:f>B12*'Dashboard'!$B$11</x:f>
        <x:v>11</x:v>
      </x:c>
      <x:c r="T12" s="10" t="n">
        <x:f>S12*'Dashboard'!$D$11</x:f>
        <x:v>0.22</x:v>
      </x:c>
      <x:c r="U12" s="7" t="str">
        <x:v>Align title, evidence, internal links and RFQ CTA with this search intent.</x:v>
      </x:c>
    </x:row>
    <x:row r="13" ht="19" customHeight="1">
      <x:c r="A13" s="7" t="str">
        <x:v>hydraulic valve manufacturer</x:v>
      </x:c>
      <x:c r="B13" s="8" t="n">
        <x:v>110</x:v>
      </x:c>
      <x:c r="C13" s="9" t="n">
        <x:v>1.19</x:v>
      </x:c>
      <x:c r="D13" s="10" t="n">
        <x:v>0.48</x:v>
      </x:c>
      <x:c r="E13" s="8" t="n">
        <x:v>50</x:v>
      </x:c>
      <x:c r="F13" s="11" t="n">
        <x:v>-0.5522388059701493</x:v>
      </x:c>
      <x:c r="G13" s="7" t="str">
        <x:v>Transactional</x:v>
      </x:c>
      <x:c r="H13" s="7" t="str">
        <x:v>Hydraulic Valves</x:v>
      </x:c>
      <x:c r="I13" s="7" t="n">
        <x:v>5</x:v>
      </x:c>
      <x:c r="J13" s="7" t="str">
        <x:v>/products/hydraulic-valves/</x:v>
      </x:c>
      <x:c r="K13" s="7" t="str">
        <x:v>Covered</x:v>
      </x:c>
      <x:c r="L13" s="7" t="str">
        <x:v>Optimize existing page</x:v>
      </x:c>
      <x:c r="M13" s="7" t="str">
        <x:v>Product / category</x:v>
      </x:c>
      <x:c r="N13" s="7" t="n">
        <x:v>5</x:v>
      </x:c>
      <x:c r="O13" s="7" t="n">
        <x:f>IF(B13&gt;=1000,5,IF(B13&gt;=300,4,IF(B13&gt;=100,3,IF(B13&gt;=30,2,IF(B13&gt;=10,1,0)))))</x:f>
        <x:v>3</x:v>
      </x:c>
      <x:c r="P13" s="7" t="n">
        <x:f>IF(C13&gt;=5,4,IF(C13&gt;=2,3,IF(C13&gt;=1,2,IF(C13&gt;0,1,0))))</x:f>
        <x:v>2</x:v>
      </x:c>
      <x:c r="Q13" s="7" t="n">
        <x:f>N13*2+O13+P13+IF(F13&gt;=0.2,1,0)+IF(K13="Gap",2,0)-IF(I13&lt;=2,5,0)</x:f>
        <x:v>15</x:v>
      </x:c>
      <x:c r="R13" s="7" t="str">
        <x:f>IF(I13&lt;=2,"D",IF(Q13&gt;=15,"A",IF(Q13&gt;=11,"B",IF(Q13&gt;=7,"C","D"))))</x:f>
        <x:v>A</x:v>
      </x:c>
      <x:c r="S13" s="12" t="n">
        <x:f>B13*'Dashboard'!$B$11</x:f>
        <x:v>11</x:v>
      </x:c>
      <x:c r="T13" s="10" t="n">
        <x:f>S13*'Dashboard'!$D$11</x:f>
        <x:v>0.22</x:v>
      </x:c>
      <x:c r="U13" s="7" t="str">
        <x:v>Align title, evidence, internal links and RFQ CTA with this search intent.</x:v>
      </x:c>
    </x:row>
    <x:row r="14" ht="19" customHeight="1">
      <x:c r="A14" s="7" t="str">
        <x:v>hydraulic valve supplier</x:v>
      </x:c>
      <x:c r="B14" s="8" t="n">
        <x:v>110</x:v>
      </x:c>
      <x:c r="C14" s="9" t="n">
        <x:v>1.19</x:v>
      </x:c>
      <x:c r="D14" s="10" t="n">
        <x:v>0.48</x:v>
      </x:c>
      <x:c r="E14" s="8" t="n">
        <x:v>50</x:v>
      </x:c>
      <x:c r="F14" s="11" t="n">
        <x:v>-0.5522388059701493</x:v>
      </x:c>
      <x:c r="G14" s="7" t="str">
        <x:v>Transactional</x:v>
      </x:c>
      <x:c r="H14" s="7" t="str">
        <x:v>Hydraulic Valves</x:v>
      </x:c>
      <x:c r="I14" s="7" t="n">
        <x:v>5</x:v>
      </x:c>
      <x:c r="J14" s="7" t="str">
        <x:v>/products/hydraulic-valves/</x:v>
      </x:c>
      <x:c r="K14" s="7" t="str">
        <x:v>Covered</x:v>
      </x:c>
      <x:c r="L14" s="7" t="str">
        <x:v>Optimize existing page</x:v>
      </x:c>
      <x:c r="M14" s="7" t="str">
        <x:v>Product / category</x:v>
      </x:c>
      <x:c r="N14" s="7" t="n">
        <x:v>5</x:v>
      </x:c>
      <x:c r="O14" s="7" t="n">
        <x:f>IF(B14&gt;=1000,5,IF(B14&gt;=300,4,IF(B14&gt;=100,3,IF(B14&gt;=30,2,IF(B14&gt;=10,1,0)))))</x:f>
        <x:v>3</x:v>
      </x:c>
      <x:c r="P14" s="7" t="n">
        <x:f>IF(C14&gt;=5,4,IF(C14&gt;=2,3,IF(C14&gt;=1,2,IF(C14&gt;0,1,0))))</x:f>
        <x:v>2</x:v>
      </x:c>
      <x:c r="Q14" s="7" t="n">
        <x:f>N14*2+O14+P14+IF(F14&gt;=0.2,1,0)+IF(K14="Gap",2,0)-IF(I14&lt;=2,5,0)</x:f>
        <x:v>15</x:v>
      </x:c>
      <x:c r="R14" s="7" t="str">
        <x:f>IF(I14&lt;=2,"D",IF(Q14&gt;=15,"A",IF(Q14&gt;=11,"B",IF(Q14&gt;=7,"C","D"))))</x:f>
        <x:v>A</x:v>
      </x:c>
      <x:c r="S14" s="12" t="n">
        <x:f>B14*'Dashboard'!$B$11</x:f>
        <x:v>11</x:v>
      </x:c>
      <x:c r="T14" s="10" t="n">
        <x:f>S14*'Dashboard'!$D$11</x:f>
        <x:v>0.22</x:v>
      </x:c>
      <x:c r="U14" s="7" t="str">
        <x:v>Align title, evidence, internal links and RFQ CTA with this search intent.</x:v>
      </x:c>
    </x:row>
    <x:row r="15" ht="19" customHeight="1">
      <x:c r="A15" s="7" t="str">
        <x:v>custom hydraulic cylinder manufacturer</x:v>
      </x:c>
      <x:c r="B15" s="8" t="n">
        <x:v>40</x:v>
      </x:c>
      <x:c r="C15" s="9" t="n">
        <x:v>2.62</x:v>
      </x:c>
      <x:c r="D15" s="10" t="n">
        <x:v>0.8</x:v>
      </x:c>
      <x:c r="E15" s="8" t="n">
        <x:v>30</x:v>
      </x:c>
      <x:c r="F15" s="11" t="n">
        <x:v>-0.29411764705882354</x:v>
      </x:c>
      <x:c r="G15" s="7" t="str">
        <x:v>Transactional</x:v>
      </x:c>
      <x:c r="H15" s="7" t="str">
        <x:v>Hydraulic Cylinders</x:v>
      </x:c>
      <x:c r="I15" s="7" t="n">
        <x:v>5</x:v>
      </x:c>
      <x:c r="J15" s="7" t="str">
        <x:v>/products/hydraulic-cylinders/custom-hydraulic-cylinders/</x:v>
      </x:c>
      <x:c r="K15" s="7" t="str">
        <x:v>Covered</x:v>
      </x:c>
      <x:c r="L15" s="7" t="str">
        <x:v>Optimize existing page</x:v>
      </x:c>
      <x:c r="M15" s="7" t="str">
        <x:v>Product / category</x:v>
      </x:c>
      <x:c r="N15" s="7" t="n">
        <x:v>5</x:v>
      </x:c>
      <x:c r="O15" s="7" t="n">
        <x:f>IF(B15&gt;=1000,5,IF(B15&gt;=300,4,IF(B15&gt;=100,3,IF(B15&gt;=30,2,IF(B15&gt;=10,1,0)))))</x:f>
        <x:v>2</x:v>
      </x:c>
      <x:c r="P15" s="7" t="n">
        <x:f>IF(C15&gt;=5,4,IF(C15&gt;=2,3,IF(C15&gt;=1,2,IF(C15&gt;0,1,0))))</x:f>
        <x:v>3</x:v>
      </x:c>
      <x:c r="Q15" s="7" t="n">
        <x:f>N15*2+O15+P15+IF(F15&gt;=0.2,1,0)+IF(K15="Gap",2,0)-IF(I15&lt;=2,5,0)</x:f>
        <x:v>15</x:v>
      </x:c>
      <x:c r="R15" s="7" t="str">
        <x:f>IF(I15&lt;=2,"D",IF(Q15&gt;=15,"A",IF(Q15&gt;=11,"B",IF(Q15&gt;=7,"C","D"))))</x:f>
        <x:v>A</x:v>
      </x:c>
      <x:c r="S15" s="12" t="n">
        <x:f>B15*'Dashboard'!$B$11</x:f>
        <x:v>4</x:v>
      </x:c>
      <x:c r="T15" s="10" t="n">
        <x:f>S15*'Dashboard'!$D$11</x:f>
        <x:v>0.08</x:v>
      </x:c>
      <x:c r="U15" s="7" t="str">
        <x:v>Align title, evidence, internal links and RFQ CTA with this search intent.</x:v>
      </x:c>
    </x:row>
    <x:row r="16" ht="19" customHeight="1">
      <x:c r="A16" s="7" t="str">
        <x:v>d1vw020bnjw</x:v>
      </x:c>
      <x:c r="B16" s="8" t="n">
        <x:v>40</x:v>
      </x:c>
      <x:c r="C16" s="9" t="n">
        <x:v>2.09</x:v>
      </x:c>
      <x:c r="D16" s="10" t="n">
        <x:v>1</x:v>
      </x:c>
      <x:c r="E16" s="8" t="n">
        <x:v>40</x:v>
      </x:c>
      <x:c r="F16" s="11" t="n">
        <x:v>0.06666666666666667</x:v>
      </x:c>
      <x:c r="G16" s="7" t="str">
        <x:v>Product research</x:v>
      </x:c>
      <x:c r="H16" s="7" t="str">
        <x:v>Technical / Other</x:v>
      </x:c>
      <x:c r="I16" s="7" t="n">
        <x:v>5</x:v>
      </x:c>
      <x:c r="J16" s="7" t="str">
        <x:v>/models/parker-d1vw020bnjw/</x:v>
      </x:c>
      <x:c r="K16" s="7" t="str">
        <x:v>Covered</x:v>
      </x:c>
      <x:c r="L16" s="7" t="str">
        <x:v>Optimize existing page</x:v>
      </x:c>
      <x:c r="M16" s="7" t="str">
        <x:v>Model record</x:v>
      </x:c>
      <x:c r="N16" s="7" t="n">
        <x:v>5</x:v>
      </x:c>
      <x:c r="O16" s="7" t="n">
        <x:f>IF(B16&gt;=1000,5,IF(B16&gt;=300,4,IF(B16&gt;=100,3,IF(B16&gt;=30,2,IF(B16&gt;=10,1,0)))))</x:f>
        <x:v>2</x:v>
      </x:c>
      <x:c r="P16" s="7" t="n">
        <x:f>IF(C16&gt;=5,4,IF(C16&gt;=2,3,IF(C16&gt;=1,2,IF(C16&gt;0,1,0))))</x:f>
        <x:v>3</x:v>
      </x:c>
      <x:c r="Q16" s="7" t="n">
        <x:f>N16*2+O16+P16+IF(F16&gt;=0.2,1,0)+IF(K16="Gap",2,0)-IF(I16&lt;=2,5,0)</x:f>
        <x:v>15</x:v>
      </x:c>
      <x:c r="R16" s="7" t="str">
        <x:f>IF(I16&lt;=2,"D",IF(Q16&gt;=15,"A",IF(Q16&gt;=11,"B",IF(Q16&gt;=7,"C","D"))))</x:f>
        <x:v>A</x:v>
      </x:c>
      <x:c r="S16" s="12" t="n">
        <x:f>B16*'Dashboard'!$B$11</x:f>
        <x:v>4</x:v>
      </x:c>
      <x:c r="T16" s="10" t="n">
        <x:f>S16*'Dashboard'!$D$11</x:f>
        <x:v>0.08</x:v>
      </x:c>
      <x:c r="U16" s="7" t="str">
        <x:v>Align title, evidence, internal links and RFQ CTA with this search intent.</x:v>
      </x:c>
    </x:row>
    <x:row r="17" ht="19" customHeight="1">
      <x:c r="A17" s="7" t="str">
        <x:v>hydraulic gear pump manufacturer</x:v>
      </x:c>
      <x:c r="B17" s="8" t="n">
        <x:v>40</x:v>
      </x:c>
      <x:c r="C17" s="9" t="n">
        <x:v>2.09</x:v>
      </x:c>
      <x:c r="D17" s="10" t="n">
        <x:v>0.61</x:v>
      </x:c>
      <x:c r="E17" s="8" t="n">
        <x:v>40</x:v>
      </x:c>
      <x:c r="F17" s="11" t="n">
        <x:v>0.06666666666666667</x:v>
      </x:c>
      <x:c r="G17" s="7" t="str">
        <x:v>Transactional</x:v>
      </x:c>
      <x:c r="H17" s="7" t="str">
        <x:v>Hydraulic Pumps</x:v>
      </x:c>
      <x:c r="I17" s="7" t="n">
        <x:v>5</x:v>
      </x:c>
      <x:c r="J17" s="7" t="str">
        <x:v>/products/hydraulic-pumps/gear-pumps/</x:v>
      </x:c>
      <x:c r="K17" s="7" t="str">
        <x:v>Covered</x:v>
      </x:c>
      <x:c r="L17" s="7" t="str">
        <x:v>Optimize existing page</x:v>
      </x:c>
      <x:c r="M17" s="7" t="str">
        <x:v>Product / category</x:v>
      </x:c>
      <x:c r="N17" s="7" t="n">
        <x:v>5</x:v>
      </x:c>
      <x:c r="O17" s="7" t="n">
        <x:f>IF(B17&gt;=1000,5,IF(B17&gt;=300,4,IF(B17&gt;=100,3,IF(B17&gt;=30,2,IF(B17&gt;=10,1,0)))))</x:f>
        <x:v>2</x:v>
      </x:c>
      <x:c r="P17" s="7" t="n">
        <x:f>IF(C17&gt;=5,4,IF(C17&gt;=2,3,IF(C17&gt;=1,2,IF(C17&gt;0,1,0))))</x:f>
        <x:v>3</x:v>
      </x:c>
      <x:c r="Q17" s="7" t="n">
        <x:f>N17*2+O17+P17+IF(F17&gt;=0.2,1,0)+IF(K17="Gap",2,0)-IF(I17&lt;=2,5,0)</x:f>
        <x:v>15</x:v>
      </x:c>
      <x:c r="R17" s="7" t="str">
        <x:f>IF(I17&lt;=2,"D",IF(Q17&gt;=15,"A",IF(Q17&gt;=11,"B",IF(Q17&gt;=7,"C","D"))))</x:f>
        <x:v>A</x:v>
      </x:c>
      <x:c r="S17" s="12" t="n">
        <x:f>B17*'Dashboard'!$B$11</x:f>
        <x:v>4</x:v>
      </x:c>
      <x:c r="T17" s="10" t="n">
        <x:f>S17*'Dashboard'!$D$11</x:f>
        <x:v>0.08</x:v>
      </x:c>
      <x:c r="U17" s="7" t="str">
        <x:v>Align title, evidence, internal links and RFQ CTA with this search intent.</x:v>
      </x:c>
    </x:row>
    <x:row r="18" ht="19" customHeight="1">
      <x:c r="A18" s="7" t="str">
        <x:v>hydraulic gear pump supplier</x:v>
      </x:c>
      <x:c r="B18" s="8" t="n">
        <x:v>40</x:v>
      </x:c>
      <x:c r="C18" s="9" t="n">
        <x:v>2.27</x:v>
      </x:c>
      <x:c r="D18" s="10" t="n">
        <x:v>0.57</x:v>
      </x:c>
      <x:c r="E18" s="8" t="n">
        <x:v>10</x:v>
      </x:c>
      <x:c r="F18" s="11" t="n">
        <x:v>-0.7209302325581396</x:v>
      </x:c>
      <x:c r="G18" s="7" t="str">
        <x:v>Transactional</x:v>
      </x:c>
      <x:c r="H18" s="7" t="str">
        <x:v>Hydraulic Pumps</x:v>
      </x:c>
      <x:c r="I18" s="7" t="n">
        <x:v>5</x:v>
      </x:c>
      <x:c r="J18" s="7" t="str">
        <x:v>/products/hydraulic-pumps/gear-pumps/</x:v>
      </x:c>
      <x:c r="K18" s="7" t="str">
        <x:v>Covered</x:v>
      </x:c>
      <x:c r="L18" s="7" t="str">
        <x:v>Optimize existing page</x:v>
      </x:c>
      <x:c r="M18" s="7" t="str">
        <x:v>Product / category</x:v>
      </x:c>
      <x:c r="N18" s="7" t="n">
        <x:v>5</x:v>
      </x:c>
      <x:c r="O18" s="7" t="n">
        <x:f>IF(B18&gt;=1000,5,IF(B18&gt;=300,4,IF(B18&gt;=100,3,IF(B18&gt;=30,2,IF(B18&gt;=10,1,0)))))</x:f>
        <x:v>2</x:v>
      </x:c>
      <x:c r="P18" s="7" t="n">
        <x:f>IF(C18&gt;=5,4,IF(C18&gt;=2,3,IF(C18&gt;=1,2,IF(C18&gt;0,1,0))))</x:f>
        <x:v>3</x:v>
      </x:c>
      <x:c r="Q18" s="7" t="n">
        <x:f>N18*2+O18+P18+IF(F18&gt;=0.2,1,0)+IF(K18="Gap",2,0)-IF(I18&lt;=2,5,0)</x:f>
        <x:v>15</x:v>
      </x:c>
      <x:c r="R18" s="7" t="str">
        <x:f>IF(I18&lt;=2,"D",IF(Q18&gt;=15,"A",IF(Q18&gt;=11,"B",IF(Q18&gt;=7,"C","D"))))</x:f>
        <x:v>A</x:v>
      </x:c>
      <x:c r="S18" s="12" t="n">
        <x:f>B18*'Dashboard'!$B$11</x:f>
        <x:v>4</x:v>
      </x:c>
      <x:c r="T18" s="10" t="n">
        <x:f>S18*'Dashboard'!$D$11</x:f>
        <x:v>0.08</x:v>
      </x:c>
      <x:c r="U18" s="7" t="str">
        <x:v>Align title, evidence, internal links and RFQ CTA with this search intent.</x:v>
      </x:c>
    </x:row>
    <x:row r="19" ht="19" customHeight="1">
      <x:c r="A19" s="7" t="str">
        <x:v>hydraulic cylinder</x:v>
      </x:c>
      <x:c r="B19" s="8" t="n">
        <x:v>14800</x:v>
      </x:c>
      <x:c r="C19" s="9" t="n">
        <x:v>0.41</x:v>
      </x:c>
      <x:c r="D19" s="10" t="n">
        <x:v>1</x:v>
      </x:c>
      <x:c r="E19" s="8" t="n">
        <x:v>14800</x:v>
      </x:c>
      <x:c r="F19" s="11" t="n">
        <x:v>-0.10030395136778116</x:v>
      </x:c>
      <x:c r="G19" s="7" t="str">
        <x:v>Product research</x:v>
      </x:c>
      <x:c r="H19" s="7" t="str">
        <x:v>Hydraulic Cylinders</x:v>
      </x:c>
      <x:c r="I19" s="7" t="n">
        <x:v>5</x:v>
      </x:c>
      <x:c r="J19" s="7" t="str">
        <x:v>/products/hydraulic-cylinders/</x:v>
      </x:c>
      <x:c r="K19" s="7" t="str">
        <x:v>Covered</x:v>
      </x:c>
      <x:c r="L19" s="7" t="str">
        <x:v>Optimize existing page</x:v>
      </x:c>
      <x:c r="M19" s="7" t="str">
        <x:v>Product / category</x:v>
      </x:c>
      <x:c r="N19" s="7" t="n">
        <x:v>4</x:v>
      </x:c>
      <x:c r="O19" s="7" t="n">
        <x:f>IF(B19&gt;=1000,5,IF(B19&gt;=300,4,IF(B19&gt;=100,3,IF(B19&gt;=30,2,IF(B19&gt;=10,1,0)))))</x:f>
        <x:v>5</x:v>
      </x:c>
      <x:c r="P19" s="7" t="n">
        <x:f>IF(C19&gt;=5,4,IF(C19&gt;=2,3,IF(C19&gt;=1,2,IF(C19&gt;0,1,0))))</x:f>
        <x:v>1</x:v>
      </x:c>
      <x:c r="Q19" s="7" t="n">
        <x:f>N19*2+O19+P19+IF(F19&gt;=0.2,1,0)+IF(K19="Gap",2,0)-IF(I19&lt;=2,5,0)</x:f>
        <x:v>14</x:v>
      </x:c>
      <x:c r="R19" s="7" t="str">
        <x:f>IF(I19&lt;=2,"D",IF(Q19&gt;=15,"A",IF(Q19&gt;=11,"B",IF(Q19&gt;=7,"C","D"))))</x:f>
        <x:v>B</x:v>
      </x:c>
      <x:c r="S19" s="12" t="n">
        <x:f>B19*'Dashboard'!$B$11</x:f>
        <x:v>1480</x:v>
      </x:c>
      <x:c r="T19" s="10" t="n">
        <x:f>S19*'Dashboard'!$D$11</x:f>
        <x:v>29.6</x:v>
      </x:c>
      <x:c r="U19" s="7" t="str">
        <x:v>Align title, evidence, internal links and RFQ CTA with this search intent.</x:v>
      </x:c>
    </x:row>
    <x:row r="20" ht="19" customHeight="1">
      <x:c r="A20" s="7" t="str">
        <x:v>hydraulic motor</x:v>
      </x:c>
      <x:c r="B20" s="8" t="n">
        <x:v>4400</x:v>
      </x:c>
      <x:c r="C20" s="9" t="n">
        <x:v>0.24</x:v>
      </x:c>
      <x:c r="D20" s="10" t="n">
        <x:v>1</x:v>
      </x:c>
      <x:c r="E20" s="8" t="n">
        <x:v>3600</x:v>
      </x:c>
      <x:c r="F20" s="11" t="n">
        <x:v>-0.18796992481203</x:v>
      </x:c>
      <x:c r="G20" s="7" t="str">
        <x:v>Product research</x:v>
      </x:c>
      <x:c r="H20" s="7" t="str">
        <x:v>Hydraulic Motors</x:v>
      </x:c>
      <x:c r="I20" s="7" t="n">
        <x:v>5</x:v>
      </x:c>
      <x:c r="J20" s="7" t="str">
        <x:v>/products/hydraulic-motors/</x:v>
      </x:c>
      <x:c r="K20" s="7" t="str">
        <x:v>Covered</x:v>
      </x:c>
      <x:c r="L20" s="7" t="str">
        <x:v>Optimize existing page</x:v>
      </x:c>
      <x:c r="M20" s="7" t="str">
        <x:v>Product / category</x:v>
      </x:c>
      <x:c r="N20" s="7" t="n">
        <x:v>4</x:v>
      </x:c>
      <x:c r="O20" s="7" t="n">
        <x:f>IF(B20&gt;=1000,5,IF(B20&gt;=300,4,IF(B20&gt;=100,3,IF(B20&gt;=30,2,IF(B20&gt;=10,1,0)))))</x:f>
        <x:v>5</x:v>
      </x:c>
      <x:c r="P20" s="7" t="n">
        <x:f>IF(C20&gt;=5,4,IF(C20&gt;=2,3,IF(C20&gt;=1,2,IF(C20&gt;0,1,0))))</x:f>
        <x:v>1</x:v>
      </x:c>
      <x:c r="Q20" s="7" t="n">
        <x:f>N20*2+O20+P20+IF(F20&gt;=0.2,1,0)+IF(K20="Gap",2,0)-IF(I20&lt;=2,5,0)</x:f>
        <x:v>14</x:v>
      </x:c>
      <x:c r="R20" s="7" t="str">
        <x:f>IF(I20&lt;=2,"D",IF(Q20&gt;=15,"A",IF(Q20&gt;=11,"B",IF(Q20&gt;=7,"C","D"))))</x:f>
        <x:v>B</x:v>
      </x:c>
      <x:c r="S20" s="12" t="n">
        <x:f>B20*'Dashboard'!$B$11</x:f>
        <x:v>440</x:v>
      </x:c>
      <x:c r="T20" s="10" t="n">
        <x:f>S20*'Dashboard'!$D$11</x:f>
        <x:v>8.8</x:v>
      </x:c>
      <x:c r="U20" s="7" t="str">
        <x:v>Align title, evidence, internal links and RFQ CTA with this search intent.</x:v>
      </x:c>
    </x:row>
    <x:row r="21" ht="19" customHeight="1">
      <x:c r="A21" s="7" t="str">
        <x:v>hydraulic valve</x:v>
      </x:c>
      <x:c r="B21" s="8" t="n">
        <x:v>2400</x:v>
      </x:c>
      <x:c r="C21" s="9" t="n">
        <x:v>0.38</x:v>
      </x:c>
      <x:c r="D21" s="10" t="n">
        <x:v>1</x:v>
      </x:c>
      <x:c r="E21" s="8" t="n">
        <x:v>1900</x:v>
      </x:c>
      <x:c r="F21" s="11" t="n">
        <x:v>-0.1798561151079136</x:v>
      </x:c>
      <x:c r="G21" s="7" t="str">
        <x:v>Product research</x:v>
      </x:c>
      <x:c r="H21" s="7" t="str">
        <x:v>Hydraulic Valves</x:v>
      </x:c>
      <x:c r="I21" s="7" t="n">
        <x:v>5</x:v>
      </x:c>
      <x:c r="J21" s="7" t="str">
        <x:v>/products/hydraulic-valves/</x:v>
      </x:c>
      <x:c r="K21" s="7" t="str">
        <x:v>Covered</x:v>
      </x:c>
      <x:c r="L21" s="7" t="str">
        <x:v>Optimize existing page</x:v>
      </x:c>
      <x:c r="M21" s="7" t="str">
        <x:v>Product / category</x:v>
      </x:c>
      <x:c r="N21" s="7" t="n">
        <x:v>4</x:v>
      </x:c>
      <x:c r="O21" s="7" t="n">
        <x:f>IF(B21&gt;=1000,5,IF(B21&gt;=300,4,IF(B21&gt;=100,3,IF(B21&gt;=30,2,IF(B21&gt;=10,1,0)))))</x:f>
        <x:v>5</x:v>
      </x:c>
      <x:c r="P21" s="7" t="n">
        <x:f>IF(C21&gt;=5,4,IF(C21&gt;=2,3,IF(C21&gt;=1,2,IF(C21&gt;0,1,0))))</x:f>
        <x:v>1</x:v>
      </x:c>
      <x:c r="Q21" s="7" t="n">
        <x:f>N21*2+O21+P21+IF(F21&gt;=0.2,1,0)+IF(K21="Gap",2,0)-IF(I21&lt;=2,5,0)</x:f>
        <x:v>14</x:v>
      </x:c>
      <x:c r="R21" s="7" t="str">
        <x:f>IF(I21&lt;=2,"D",IF(Q21&gt;=15,"A",IF(Q21&gt;=11,"B",IF(Q21&gt;=7,"C","D"))))</x:f>
        <x:v>B</x:v>
      </x:c>
      <x:c r="S21" s="12" t="n">
        <x:f>B21*'Dashboard'!$B$11</x:f>
        <x:v>240</x:v>
      </x:c>
      <x:c r="T21" s="10" t="n">
        <x:f>S21*'Dashboard'!$D$11</x:f>
        <x:v>4.8</x:v>
      </x:c>
      <x:c r="U21" s="7" t="str">
        <x:v>Align title, evidence, internal links and RFQ CTA with this search intent.</x:v>
      </x:c>
    </x:row>
    <x:row r="22" ht="19" customHeight="1">
      <x:c r="A22" s="7" t="str">
        <x:v>directional control valve</x:v>
      </x:c>
      <x:c r="B22" s="8" t="n">
        <x:v>1600</x:v>
      </x:c>
      <x:c r="C22" s="9" t="n">
        <x:v>0.98</x:v>
      </x:c>
      <x:c r="D22" s="10" t="n">
        <x:v>1</x:v>
      </x:c>
      <x:c r="E22" s="8" t="n">
        <x:v>1000</x:v>
      </x:c>
      <x:c r="F22" s="11" t="n">
        <x:v>-0.41747572815533984</x:v>
      </x:c>
      <x:c r="G22" s="7" t="str">
        <x:v>Product research</x:v>
      </x:c>
      <x:c r="H22" s="7" t="str">
        <x:v>Hydraulic Valves</x:v>
      </x:c>
      <x:c r="I22" s="7" t="n">
        <x:v>5</x:v>
      </x:c>
      <x:c r="J22" s="7" t="str">
        <x:v>/products/hydraulic-valves/solenoid-directional-valves/</x:v>
      </x:c>
      <x:c r="K22" s="7" t="str">
        <x:v>Covered</x:v>
      </x:c>
      <x:c r="L22" s="7" t="str">
        <x:v>Optimize existing page</x:v>
      </x:c>
      <x:c r="M22" s="7" t="str">
        <x:v>Product / category</x:v>
      </x:c>
      <x:c r="N22" s="7" t="n">
        <x:v>4</x:v>
      </x:c>
      <x:c r="O22" s="7" t="n">
        <x:f>IF(B22&gt;=1000,5,IF(B22&gt;=300,4,IF(B22&gt;=100,3,IF(B22&gt;=30,2,IF(B22&gt;=10,1,0)))))</x:f>
        <x:v>5</x:v>
      </x:c>
      <x:c r="P22" s="7" t="n">
        <x:f>IF(C22&gt;=5,4,IF(C22&gt;=2,3,IF(C22&gt;=1,2,IF(C22&gt;0,1,0))))</x:f>
        <x:v>1</x:v>
      </x:c>
      <x:c r="Q22" s="7" t="n">
        <x:f>N22*2+O22+P22+IF(F22&gt;=0.2,1,0)+IF(K22="Gap",2,0)-IF(I22&lt;=2,5,0)</x:f>
        <x:v>14</x:v>
      </x:c>
      <x:c r="R22" s="7" t="str">
        <x:f>IF(I22&lt;=2,"D",IF(Q22&gt;=15,"A",IF(Q22&gt;=11,"B",IF(Q22&gt;=7,"C","D"))))</x:f>
        <x:v>B</x:v>
      </x:c>
      <x:c r="S22" s="12" t="n">
        <x:f>B22*'Dashboard'!$B$11</x:f>
        <x:v>160</x:v>
      </x:c>
      <x:c r="T22" s="10" t="n">
        <x:f>S22*'Dashboard'!$D$11</x:f>
        <x:v>3.2</x:v>
      </x:c>
      <x:c r="U22" s="7" t="str">
        <x:v>Align title, evidence, internal links and RFQ CTA with this search intent.</x:v>
      </x:c>
    </x:row>
    <x:row r="23" ht="19" customHeight="1">
      <x:c r="A23" s="7" t="str">
        <x:v>hydraulic gear pump</x:v>
      </x:c>
      <x:c r="B23" s="8" t="n">
        <x:v>1300</x:v>
      </x:c>
      <x:c r="C23" s="9" t="n">
        <x:v>0.51</x:v>
      </x:c>
      <x:c r="D23" s="10" t="n">
        <x:v>1</x:v>
      </x:c>
      <x:c r="E23" s="8" t="n">
        <x:v>720</x:v>
      </x:c>
      <x:c r="F23" s="11" t="n">
        <x:v>-0.42323097463284376</x:v>
      </x:c>
      <x:c r="G23" s="7" t="str">
        <x:v>Product research</x:v>
      </x:c>
      <x:c r="H23" s="7" t="str">
        <x:v>Hydraulic Pumps</x:v>
      </x:c>
      <x:c r="I23" s="7" t="n">
        <x:v>5</x:v>
      </x:c>
      <x:c r="J23" s="7" t="str">
        <x:v>/products/hydraulic-pumps/gear-pumps/</x:v>
      </x:c>
      <x:c r="K23" s="7" t="str">
        <x:v>Covered</x:v>
      </x:c>
      <x:c r="L23" s="7" t="str">
        <x:v>Optimize existing page</x:v>
      </x:c>
      <x:c r="M23" s="7" t="str">
        <x:v>Product / category</x:v>
      </x:c>
      <x:c r="N23" s="7" t="n">
        <x:v>4</x:v>
      </x:c>
      <x:c r="O23" s="7" t="n">
        <x:f>IF(B23&gt;=1000,5,IF(B23&gt;=300,4,IF(B23&gt;=100,3,IF(B23&gt;=30,2,IF(B23&gt;=10,1,0)))))</x:f>
        <x:v>5</x:v>
      </x:c>
      <x:c r="P23" s="7" t="n">
        <x:f>IF(C23&gt;=5,4,IF(C23&gt;=2,3,IF(C23&gt;=1,2,IF(C23&gt;0,1,0))))</x:f>
        <x:v>1</x:v>
      </x:c>
      <x:c r="Q23" s="7" t="n">
        <x:f>N23*2+O23+P23+IF(F23&gt;=0.2,1,0)+IF(K23="Gap",2,0)-IF(I23&lt;=2,5,0)</x:f>
        <x:v>14</x:v>
      </x:c>
      <x:c r="R23" s="7" t="str">
        <x:f>IF(I23&lt;=2,"D",IF(Q23&gt;=15,"A",IF(Q23&gt;=11,"B",IF(Q23&gt;=7,"C","D"))))</x:f>
        <x:v>B</x:v>
      </x:c>
      <x:c r="S23" s="12" t="n">
        <x:f>B23*'Dashboard'!$B$11</x:f>
        <x:v>130</x:v>
      </x:c>
      <x:c r="T23" s="10" t="n">
        <x:f>S23*'Dashboard'!$D$11</x:f>
        <x:v>2.6</x:v>
      </x:c>
      <x:c r="U23" s="7" t="str">
        <x:v>Align title, evidence, internal links and RFQ CTA with this search intent.</x:v>
      </x:c>
    </x:row>
    <x:row r="24" ht="19" customHeight="1">
      <x:c r="A24" s="7" t="str">
        <x:v>pressure control valve</x:v>
      </x:c>
      <x:c r="B24" s="8" t="n">
        <x:v>1300</x:v>
      </x:c>
      <x:c r="C24" s="9" t="n">
        <x:v>0.97</x:v>
      </x:c>
      <x:c r="D24" s="10" t="n">
        <x:v>0.92</x:v>
      </x:c>
      <x:c r="E24" s="8" t="n">
        <x:v>1000</x:v>
      </x:c>
      <x:c r="F24" s="11" t="n">
        <x:v>-0.2</x:v>
      </x:c>
      <x:c r="G24" s="7" t="str">
        <x:v>Product research</x:v>
      </x:c>
      <x:c r="H24" s="7" t="str">
        <x:v>Hydraulic Valves</x:v>
      </x:c>
      <x:c r="I24" s="7" t="n">
        <x:v>5</x:v>
      </x:c>
      <x:c r="J24" s="7" t="str">
        <x:v>/products/hydraulic-valves/pressure-control-valves/</x:v>
      </x:c>
      <x:c r="K24" s="7" t="str">
        <x:v>Covered</x:v>
      </x:c>
      <x:c r="L24" s="7" t="str">
        <x:v>Optimize existing page</x:v>
      </x:c>
      <x:c r="M24" s="7" t="str">
        <x:v>Product / category</x:v>
      </x:c>
      <x:c r="N24" s="7" t="n">
        <x:v>4</x:v>
      </x:c>
      <x:c r="O24" s="7" t="n">
        <x:f>IF(B24&gt;=1000,5,IF(B24&gt;=300,4,IF(B24&gt;=100,3,IF(B24&gt;=30,2,IF(B24&gt;=10,1,0)))))</x:f>
        <x:v>5</x:v>
      </x:c>
      <x:c r="P24" s="7" t="n">
        <x:f>IF(C24&gt;=5,4,IF(C24&gt;=2,3,IF(C24&gt;=1,2,IF(C24&gt;0,1,0))))</x:f>
        <x:v>1</x:v>
      </x:c>
      <x:c r="Q24" s="7" t="n">
        <x:f>N24*2+O24+P24+IF(F24&gt;=0.2,1,0)+IF(K24="Gap",2,0)-IF(I24&lt;=2,5,0)</x:f>
        <x:v>14</x:v>
      </x:c>
      <x:c r="R24" s="7" t="str">
        <x:f>IF(I24&lt;=2,"D",IF(Q24&gt;=15,"A",IF(Q24&gt;=11,"B",IF(Q24&gt;=7,"C","D"))))</x:f>
        <x:v>B</x:v>
      </x:c>
      <x:c r="S24" s="12" t="n">
        <x:f>B24*'Dashboard'!$B$11</x:f>
        <x:v>130</x:v>
      </x:c>
      <x:c r="T24" s="10" t="n">
        <x:f>S24*'Dashboard'!$D$11</x:f>
        <x:v>2.6</x:v>
      </x:c>
      <x:c r="U24" s="7" t="str">
        <x:v>Align title, evidence, internal links and RFQ CTA with this search intent.</x:v>
      </x:c>
    </x:row>
    <x:row r="25" ht="19" customHeight="1">
      <x:c r="A25" s="7" t="str">
        <x:v>axial piston pump</x:v>
      </x:c>
      <x:c r="B25" s="8" t="n">
        <x:v>720</x:v>
      </x:c>
      <x:c r="C25" s="9" t="n">
        <x:v>1.37</x:v>
      </x:c>
      <x:c r="D25" s="10" t="n">
        <x:v>0.22</x:v>
      </x:c>
      <x:c r="E25" s="8" t="n">
        <x:v>720</x:v>
      </x:c>
      <x:c r="F25" s="11" t="n">
        <x:v>0.056234718826405926</x:v>
      </x:c>
      <x:c r="G25" s="7" t="str">
        <x:v>Product research</x:v>
      </x:c>
      <x:c r="H25" s="7" t="str">
        <x:v>Hydraulic Pumps</x:v>
      </x:c>
      <x:c r="I25" s="7" t="n">
        <x:v>5</x:v>
      </x:c>
      <x:c r="J25" s="7" t="str">
        <x:v>/products/hydraulic-pumps/axial-piston-pumps/</x:v>
      </x:c>
      <x:c r="K25" s="7" t="str">
        <x:v>Covered</x:v>
      </x:c>
      <x:c r="L25" s="7" t="str">
        <x:v>Optimize existing page</x:v>
      </x:c>
      <x:c r="M25" s="7" t="str">
        <x:v>Product / category</x:v>
      </x:c>
      <x:c r="N25" s="7" t="n">
        <x:v>4</x:v>
      </x:c>
      <x:c r="O25" s="7" t="n">
        <x:f>IF(B25&gt;=1000,5,IF(B25&gt;=300,4,IF(B25&gt;=100,3,IF(B25&gt;=30,2,IF(B25&gt;=10,1,0)))))</x:f>
        <x:v>4</x:v>
      </x:c>
      <x:c r="P25" s="7" t="n">
        <x:f>IF(C25&gt;=5,4,IF(C25&gt;=2,3,IF(C25&gt;=1,2,IF(C25&gt;0,1,0))))</x:f>
        <x:v>2</x:v>
      </x:c>
      <x:c r="Q25" s="7" t="n">
        <x:f>N25*2+O25+P25+IF(F25&gt;=0.2,1,0)+IF(K25="Gap",2,0)-IF(I25&lt;=2,5,0)</x:f>
        <x:v>14</x:v>
      </x:c>
      <x:c r="R25" s="7" t="str">
        <x:f>IF(I25&lt;=2,"D",IF(Q25&gt;=15,"A",IF(Q25&gt;=11,"B",IF(Q25&gt;=7,"C","D"))))</x:f>
        <x:v>B</x:v>
      </x:c>
      <x:c r="S25" s="12" t="n">
        <x:f>B25*'Dashboard'!$B$11</x:f>
        <x:v>72</x:v>
      </x:c>
      <x:c r="T25" s="10" t="n">
        <x:f>S25*'Dashboard'!$D$11</x:f>
        <x:v>1.44</x:v>
      </x:c>
      <x:c r="U25" s="7" t="str">
        <x:v>Align title, evidence, internal links and RFQ CTA with this search intent.</x:v>
      </x:c>
    </x:row>
    <x:row r="26" ht="19" customHeight="1">
      <x:c r="A26" s="7" t="str">
        <x:v>bosch rexroth hydraulic pump</x:v>
      </x:c>
      <x:c r="B26" s="8" t="n">
        <x:v>720</x:v>
      </x:c>
      <x:c r="C26" s="9" t="n">
        <x:v>1.07</x:v>
      </x:c>
      <x:c r="D26" s="10" t="n">
        <x:v>1</x:v>
      </x:c>
      <x:c r="E26" s="8" t="n">
        <x:v>720</x:v>
      </x:c>
      <x:c r="F26" s="11" t="n">
        <x:v>-0.04212860310421281</x:v>
      </x:c>
      <x:c r="G26" s="7" t="str">
        <x:v>Product research</x:v>
      </x:c>
      <x:c r="H26" s="7" t="str">
        <x:v>Hydraulic Pumps</x:v>
      </x:c>
      <x:c r="I26" s="7" t="n">
        <x:v>5</x:v>
      </x:c>
      <x:c r="J26" s="7" t="str">
        <x:v>/products/hydraulic-pumps/</x:v>
      </x:c>
      <x:c r="K26" s="7" t="str">
        <x:v>Covered</x:v>
      </x:c>
      <x:c r="L26" s="7" t="str">
        <x:v>Optimize existing page</x:v>
      </x:c>
      <x:c r="M26" s="7" t="str">
        <x:v>Product / category</x:v>
      </x:c>
      <x:c r="N26" s="7" t="n">
        <x:v>4</x:v>
      </x:c>
      <x:c r="O26" s="7" t="n">
        <x:f>IF(B26&gt;=1000,5,IF(B26&gt;=300,4,IF(B26&gt;=100,3,IF(B26&gt;=30,2,IF(B26&gt;=10,1,0)))))</x:f>
        <x:v>4</x:v>
      </x:c>
      <x:c r="P26" s="7" t="n">
        <x:f>IF(C26&gt;=5,4,IF(C26&gt;=2,3,IF(C26&gt;=1,2,IF(C26&gt;0,1,0))))</x:f>
        <x:v>2</x:v>
      </x:c>
      <x:c r="Q26" s="7" t="n">
        <x:f>N26*2+O26+P26+IF(F26&gt;=0.2,1,0)+IF(K26="Gap",2,0)-IF(I26&lt;=2,5,0)</x:f>
        <x:v>14</x:v>
      </x:c>
      <x:c r="R26" s="7" t="str">
        <x:f>IF(I26&lt;=2,"D",IF(Q26&gt;=15,"A",IF(Q26&gt;=11,"B",IF(Q26&gt;=7,"C","D"))))</x:f>
        <x:v>B</x:v>
      </x:c>
      <x:c r="S26" s="12" t="n">
        <x:f>B26*'Dashboard'!$B$11</x:f>
        <x:v>72</x:v>
      </x:c>
      <x:c r="T26" s="10" t="n">
        <x:f>S26*'Dashboard'!$D$11</x:f>
        <x:v>1.44</x:v>
      </x:c>
      <x:c r="U26" s="7" t="str">
        <x:v>Align title, evidence, internal links and RFQ CTA with this search intent.</x:v>
      </x:c>
    </x:row>
    <x:row r="27" ht="19" customHeight="1">
      <x:c r="A27" s="7" t="str">
        <x:v>hydraulic piston pump</x:v>
      </x:c>
      <x:c r="B27" s="8" t="n">
        <x:v>720</x:v>
      </x:c>
      <x:c r="C27" s="9" t="n">
        <x:v>1</x:v>
      </x:c>
      <x:c r="D27" s="10" t="n">
        <x:v>0.8</x:v>
      </x:c>
      <x:c r="E27" s="8" t="n">
        <x:v>480</x:v>
      </x:c>
      <x:c r="F27" s="11" t="n">
        <x:v>-0.38263665594855306</x:v>
      </x:c>
      <x:c r="G27" s="7" t="str">
        <x:v>Product research</x:v>
      </x:c>
      <x:c r="H27" s="7" t="str">
        <x:v>Hydraulic Pumps</x:v>
      </x:c>
      <x:c r="I27" s="7" t="n">
        <x:v>5</x:v>
      </x:c>
      <x:c r="J27" s="7" t="str">
        <x:v>/products/hydraulic-pumps/axial-piston-pumps/</x:v>
      </x:c>
      <x:c r="K27" s="7" t="str">
        <x:v>Covered</x:v>
      </x:c>
      <x:c r="L27" s="7" t="str">
        <x:v>Optimize existing page</x:v>
      </x:c>
      <x:c r="M27" s="7" t="str">
        <x:v>Product / category</x:v>
      </x:c>
      <x:c r="N27" s="7" t="n">
        <x:v>4</x:v>
      </x:c>
      <x:c r="O27" s="7" t="n">
        <x:f>IF(B27&gt;=1000,5,IF(B27&gt;=300,4,IF(B27&gt;=100,3,IF(B27&gt;=30,2,IF(B27&gt;=10,1,0)))))</x:f>
        <x:v>4</x:v>
      </x:c>
      <x:c r="P27" s="7" t="n">
        <x:f>IF(C27&gt;=5,4,IF(C27&gt;=2,3,IF(C27&gt;=1,2,IF(C27&gt;0,1,0))))</x:f>
        <x:v>2</x:v>
      </x:c>
      <x:c r="Q27" s="7" t="n">
        <x:f>N27*2+O27+P27+IF(F27&gt;=0.2,1,0)+IF(K27="Gap",2,0)-IF(I27&lt;=2,5,0)</x:f>
        <x:v>14</x:v>
      </x:c>
      <x:c r="R27" s="7" t="str">
        <x:f>IF(I27&lt;=2,"D",IF(Q27&gt;=15,"A",IF(Q27&gt;=11,"B",IF(Q27&gt;=7,"C","D"))))</x:f>
        <x:v>B</x:v>
      </x:c>
      <x:c r="S27" s="12" t="n">
        <x:f>B27*'Dashboard'!$B$11</x:f>
        <x:v>72</x:v>
      </x:c>
      <x:c r="T27" s="10" t="n">
        <x:f>S27*'Dashboard'!$D$11</x:f>
        <x:v>1.44</x:v>
      </x:c>
      <x:c r="U27" s="7" t="str">
        <x:v>Align title, evidence, internal links and RFQ CTA with this search intent.</x:v>
      </x:c>
    </x:row>
    <x:row r="28" ht="19" customHeight="1">
      <x:c r="A28" s="7" t="str">
        <x:v>eaton vickers hydraulic pump</x:v>
      </x:c>
      <x:c r="B28" s="8" t="n">
        <x:v>390</x:v>
      </x:c>
      <x:c r="C28" s="9" t="n">
        <x:v>1.14</x:v>
      </x:c>
      <x:c r="D28" s="10" t="n">
        <x:v>1</x:v>
      </x:c>
      <x:c r="E28" s="8" t="n">
        <x:v>320</x:v>
      </x:c>
      <x:c r="F28" s="11" t="n">
        <x:v>-0.12727272727272732</x:v>
      </x:c>
      <x:c r="G28" s="7" t="str">
        <x:v>Product research</x:v>
      </x:c>
      <x:c r="H28" s="7" t="str">
        <x:v>Hydraulic Pumps</x:v>
      </x:c>
      <x:c r="I28" s="7" t="n">
        <x:v>5</x:v>
      </x:c>
      <x:c r="J28" s="7" t="str">
        <x:v>/products/hydraulic-pumps/</x:v>
      </x:c>
      <x:c r="K28" s="7" t="str">
        <x:v>Covered</x:v>
      </x:c>
      <x:c r="L28" s="7" t="str">
        <x:v>Optimize existing page</x:v>
      </x:c>
      <x:c r="M28" s="7" t="str">
        <x:v>Product / category</x:v>
      </x:c>
      <x:c r="N28" s="7" t="n">
        <x:v>4</x:v>
      </x:c>
      <x:c r="O28" s="7" t="n">
        <x:f>IF(B28&gt;=1000,5,IF(B28&gt;=300,4,IF(B28&gt;=100,3,IF(B28&gt;=30,2,IF(B28&gt;=10,1,0)))))</x:f>
        <x:v>4</x:v>
      </x:c>
      <x:c r="P28" s="7" t="n">
        <x:f>IF(C28&gt;=5,4,IF(C28&gt;=2,3,IF(C28&gt;=1,2,IF(C28&gt;0,1,0))))</x:f>
        <x:v>2</x:v>
      </x:c>
      <x:c r="Q28" s="7" t="n">
        <x:f>N28*2+O28+P28+IF(F28&gt;=0.2,1,0)+IF(K28="Gap",2,0)-IF(I28&lt;=2,5,0)</x:f>
        <x:v>14</x:v>
      </x:c>
      <x:c r="R28" s="7" t="str">
        <x:f>IF(I28&lt;=2,"D",IF(Q28&gt;=15,"A",IF(Q28&gt;=11,"B",IF(Q28&gt;=7,"C","D"))))</x:f>
        <x:v>B</x:v>
      </x:c>
      <x:c r="S28" s="12" t="n">
        <x:f>B28*'Dashboard'!$B$11</x:f>
        <x:v>39</x:v>
      </x:c>
      <x:c r="T28" s="10" t="n">
        <x:f>S28*'Dashboard'!$D$11</x:f>
        <x:v>0.78</x:v>
      </x:c>
      <x:c r="U28" s="7" t="str">
        <x:v>Align title, evidence, internal links and RFQ CTA with this search intent.</x:v>
      </x:c>
    </x:row>
    <x:row r="29" ht="19" customHeight="1">
      <x:c r="A29" s="7" t="str">
        <x:v>parker hydraulic motor</x:v>
      </x:c>
      <x:c r="B29" s="8" t="n">
        <x:v>390</x:v>
      </x:c>
      <x:c r="C29" s="9" t="n">
        <x:v>1.09</x:v>
      </x:c>
      <x:c r="D29" s="10" t="n">
        <x:v>1</x:v>
      </x:c>
      <x:c r="E29" s="8" t="n">
        <x:v>390</x:v>
      </x:c>
      <x:c r="F29" s="11" t="n">
        <x:v>-0.08771929824561403</x:v>
      </x:c>
      <x:c r="G29" s="7" t="str">
        <x:v>Product research</x:v>
      </x:c>
      <x:c r="H29" s="7" t="str">
        <x:v>Hydraulic Motors</x:v>
      </x:c>
      <x:c r="I29" s="7" t="n">
        <x:v>5</x:v>
      </x:c>
      <x:c r="J29" s="7" t="str">
        <x:v>/products/hydraulic-motors/</x:v>
      </x:c>
      <x:c r="K29" s="7" t="str">
        <x:v>Covered</x:v>
      </x:c>
      <x:c r="L29" s="7" t="str">
        <x:v>Optimize existing page</x:v>
      </x:c>
      <x:c r="M29" s="7" t="str">
        <x:v>Product / category</x:v>
      </x:c>
      <x:c r="N29" s="7" t="n">
        <x:v>4</x:v>
      </x:c>
      <x:c r="O29" s="7" t="n">
        <x:f>IF(B29&gt;=1000,5,IF(B29&gt;=300,4,IF(B29&gt;=100,3,IF(B29&gt;=30,2,IF(B29&gt;=10,1,0)))))</x:f>
        <x:v>4</x:v>
      </x:c>
      <x:c r="P29" s="7" t="n">
        <x:f>IF(C29&gt;=5,4,IF(C29&gt;=2,3,IF(C29&gt;=1,2,IF(C29&gt;0,1,0))))</x:f>
        <x:v>2</x:v>
      </x:c>
      <x:c r="Q29" s="7" t="n">
        <x:f>N29*2+O29+P29+IF(F29&gt;=0.2,1,0)+IF(K29="Gap",2,0)-IF(I29&lt;=2,5,0)</x:f>
        <x:v>14</x:v>
      </x:c>
      <x:c r="R29" s="7" t="str">
        <x:f>IF(I29&lt;=2,"D",IF(Q29&gt;=15,"A",IF(Q29&gt;=11,"B",IF(Q29&gt;=7,"C","D"))))</x:f>
        <x:v>B</x:v>
      </x:c>
      <x:c r="S29" s="12" t="n">
        <x:f>B29*'Dashboard'!$B$11</x:f>
        <x:v>39</x:v>
      </x:c>
      <x:c r="T29" s="10" t="n">
        <x:f>S29*'Dashboard'!$D$11</x:f>
        <x:v>0.78</x:v>
      </x:c>
      <x:c r="U29" s="7" t="str">
        <x:v>Align title, evidence, internal links and RFQ CTA with this search intent.</x:v>
      </x:c>
    </x:row>
    <x:row r="30" ht="19" customHeight="1">
      <x:c r="A30" s="7" t="str">
        <x:v>parker hydraulic valve</x:v>
      </x:c>
      <x:c r="B30" s="8" t="n">
        <x:v>320</x:v>
      </x:c>
      <x:c r="C30" s="9" t="n">
        <x:v>1.16</x:v>
      </x:c>
      <x:c r="D30" s="10" t="n">
        <x:v>0.83</x:v>
      </x:c>
      <x:c r="E30" s="8" t="n">
        <x:v>320</x:v>
      </x:c>
      <x:c r="F30" s="11" t="n">
        <x:v>0.0350404312668463</x:v>
      </x:c>
      <x:c r="G30" s="7" t="str">
        <x:v>Product research</x:v>
      </x:c>
      <x:c r="H30" s="7" t="str">
        <x:v>Hydraulic Valves</x:v>
      </x:c>
      <x:c r="I30" s="7" t="n">
        <x:v>5</x:v>
      </x:c>
      <x:c r="J30" s="7" t="str">
        <x:v>/products/hydraulic-valves/</x:v>
      </x:c>
      <x:c r="K30" s="7" t="str">
        <x:v>Covered</x:v>
      </x:c>
      <x:c r="L30" s="7" t="str">
        <x:v>Optimize existing page</x:v>
      </x:c>
      <x:c r="M30" s="7" t="str">
        <x:v>Product / category</x:v>
      </x:c>
      <x:c r="N30" s="7" t="n">
        <x:v>4</x:v>
      </x:c>
      <x:c r="O30" s="7" t="n">
        <x:f>IF(B30&gt;=1000,5,IF(B30&gt;=300,4,IF(B30&gt;=100,3,IF(B30&gt;=30,2,IF(B30&gt;=10,1,0)))))</x:f>
        <x:v>4</x:v>
      </x:c>
      <x:c r="P30" s="7" t="n">
        <x:f>IF(C30&gt;=5,4,IF(C30&gt;=2,3,IF(C30&gt;=1,2,IF(C30&gt;0,1,0))))</x:f>
        <x:v>2</x:v>
      </x:c>
      <x:c r="Q30" s="7" t="n">
        <x:f>N30*2+O30+P30+IF(F30&gt;=0.2,1,0)+IF(K30="Gap",2,0)-IF(I30&lt;=2,5,0)</x:f>
        <x:v>14</x:v>
      </x:c>
      <x:c r="R30" s="7" t="str">
        <x:f>IF(I30&lt;=2,"D",IF(Q30&gt;=15,"A",IF(Q30&gt;=11,"B",IF(Q30&gt;=7,"C","D"))))</x:f>
        <x:v>B</x:v>
      </x:c>
      <x:c r="S30" s="12" t="n">
        <x:f>B30*'Dashboard'!$B$11</x:f>
        <x:v>32</x:v>
      </x:c>
      <x:c r="T30" s="10" t="n">
        <x:f>S30*'Dashboard'!$D$11</x:f>
        <x:v>0.64</x:v>
      </x:c>
      <x:c r="U30" s="7" t="str">
        <x:v>Align title, evidence, internal links and RFQ CTA with this search intent.</x:v>
      </x:c>
    </x:row>
    <x:row r="31" ht="19" customHeight="1">
      <x:c r="A31" s="7" t="str">
        <x:v>atos hydraulic valve</x:v>
      </x:c>
      <x:c r="B31" s="8" t="n">
        <x:v>170</x:v>
      </x:c>
      <x:c r="C31" s="9" t="n">
        <x:v>2.17</x:v>
      </x:c>
      <x:c r="D31" s="10" t="n">
        <x:v>0.55</x:v>
      </x:c>
      <x:c r="E31" s="8" t="n">
        <x:v>210</x:v>
      </x:c>
      <x:c r="F31" s="11" t="n">
        <x:v>0.12</x:v>
      </x:c>
      <x:c r="G31" s="7" t="str">
        <x:v>Product research</x:v>
      </x:c>
      <x:c r="H31" s="7" t="str">
        <x:v>Hydraulic Valves</x:v>
      </x:c>
      <x:c r="I31" s="7" t="n">
        <x:v>5</x:v>
      </x:c>
      <x:c r="J31" s="7" t="str">
        <x:v>/products/hydraulic-valves/</x:v>
      </x:c>
      <x:c r="K31" s="7" t="str">
        <x:v>Covered</x:v>
      </x:c>
      <x:c r="L31" s="7" t="str">
        <x:v>Optimize existing page</x:v>
      </x:c>
      <x:c r="M31" s="7" t="str">
        <x:v>Product / category</x:v>
      </x:c>
      <x:c r="N31" s="7" t="n">
        <x:v>4</x:v>
      </x:c>
      <x:c r="O31" s="7" t="n">
        <x:f>IF(B31&gt;=1000,5,IF(B31&gt;=300,4,IF(B31&gt;=100,3,IF(B31&gt;=30,2,IF(B31&gt;=10,1,0)))))</x:f>
        <x:v>3</x:v>
      </x:c>
      <x:c r="P31" s="7" t="n">
        <x:f>IF(C31&gt;=5,4,IF(C31&gt;=2,3,IF(C31&gt;=1,2,IF(C31&gt;0,1,0))))</x:f>
        <x:v>3</x:v>
      </x:c>
      <x:c r="Q31" s="7" t="n">
        <x:f>N31*2+O31+P31+IF(F31&gt;=0.2,1,0)+IF(K31="Gap",2,0)-IF(I31&lt;=2,5,0)</x:f>
        <x:v>14</x:v>
      </x:c>
      <x:c r="R31" s="7" t="str">
        <x:f>IF(I31&lt;=2,"D",IF(Q31&gt;=15,"A",IF(Q31&gt;=11,"B",IF(Q31&gt;=7,"C","D"))))</x:f>
        <x:v>B</x:v>
      </x:c>
      <x:c r="S31" s="12" t="n">
        <x:f>B31*'Dashboard'!$B$11</x:f>
        <x:v>17</x:v>
      </x:c>
      <x:c r="T31" s="10" t="n">
        <x:f>S31*'Dashboard'!$D$11</x:f>
        <x:v>0.34</x:v>
      </x:c>
      <x:c r="U31" s="7" t="str">
        <x:v>Align title, evidence, internal links and RFQ CTA with this search intent.</x:v>
      </x:c>
    </x:row>
    <x:row r="32" ht="19" customHeight="1">
      <x:c r="A32" s="7" t="str">
        <x:v>hydraulic repair kit</x:v>
      </x:c>
      <x:c r="B32" s="8" t="n">
        <x:v>140</x:v>
      </x:c>
      <x:c r="C32" s="9" t="n">
        <x:v>0.27</x:v>
      </x:c>
      <x:c r="D32" s="10" t="n">
        <x:v>0.85</x:v>
      </x:c>
      <x:c r="E32" s="8" t="n">
        <x:v>140</x:v>
      </x:c>
      <x:c r="F32" s="11" t="n">
        <x:v>0.08387096774193556</x:v>
      </x:c>
      <x:c r="G32" s="7" t="str">
        <x:v>Commercial</x:v>
      </x:c>
      <x:c r="H32" s="7" t="str">
        <x:v>Repair Kits &amp; Service Parts</x:v>
      </x:c>
      <x:c r="I32" s="7" t="n">
        <x:v>5</x:v>
      </x:c>
      <x:c r="J32" s="7" t="str">
        <x:v>/products/hydraulic-repair-kits/</x:v>
      </x:c>
      <x:c r="K32" s="7" t="str">
        <x:v>Covered</x:v>
      </x:c>
      <x:c r="L32" s="7" t="str">
        <x:v>Optimize existing page</x:v>
      </x:c>
      <x:c r="M32" s="7" t="str">
        <x:v>Product / category</x:v>
      </x:c>
      <x:c r="N32" s="7" t="n">
        <x:v>5</x:v>
      </x:c>
      <x:c r="O32" s="7" t="n">
        <x:f>IF(B32&gt;=1000,5,IF(B32&gt;=300,4,IF(B32&gt;=100,3,IF(B32&gt;=30,2,IF(B32&gt;=10,1,0)))))</x:f>
        <x:v>3</x:v>
      </x:c>
      <x:c r="P32" s="7" t="n">
        <x:f>IF(C32&gt;=5,4,IF(C32&gt;=2,3,IF(C32&gt;=1,2,IF(C32&gt;0,1,0))))</x:f>
        <x:v>1</x:v>
      </x:c>
      <x:c r="Q32" s="7" t="n">
        <x:f>N32*2+O32+P32+IF(F32&gt;=0.2,1,0)+IF(K32="Gap",2,0)-IF(I32&lt;=2,5,0)</x:f>
        <x:v>14</x:v>
      </x:c>
      <x:c r="R32" s="7" t="str">
        <x:f>IF(I32&lt;=2,"D",IF(Q32&gt;=15,"A",IF(Q32&gt;=11,"B",IF(Q32&gt;=7,"C","D"))))</x:f>
        <x:v>B</x:v>
      </x:c>
      <x:c r="S32" s="12" t="n">
        <x:f>B32*'Dashboard'!$B$11</x:f>
        <x:v>14</x:v>
      </x:c>
      <x:c r="T32" s="10" t="n">
        <x:f>S32*'Dashboard'!$D$11</x:f>
        <x:v>0.28</x:v>
      </x:c>
      <x:c r="U32" s="7" t="str">
        <x:v>Align title, evidence, internal links and RFQ CTA with this search intent.</x:v>
      </x:c>
    </x:row>
    <x:row r="33" ht="19" customHeight="1">
      <x:c r="A33" s="7" t="str">
        <x:v>poclain hydraulic motor</x:v>
      </x:c>
      <x:c r="B33" s="8" t="n">
        <x:v>110</x:v>
      </x:c>
      <x:c r="C33" s="9" t="n">
        <x:v>2.68</x:v>
      </x:c>
      <x:c r="D33" s="10" t="n">
        <x:v>0.76</x:v>
      </x:c>
      <x:c r="E33" s="8" t="n">
        <x:v>90</x:v>
      </x:c>
      <x:c r="F33" s="11" t="n">
        <x:v>-0.21739130434782608</x:v>
      </x:c>
      <x:c r="G33" s="7" t="str">
        <x:v>Product research</x:v>
      </x:c>
      <x:c r="H33" s="7" t="str">
        <x:v>Hydraulic Motors</x:v>
      </x:c>
      <x:c r="I33" s="7" t="n">
        <x:v>5</x:v>
      </x:c>
      <x:c r="J33" s="7" t="str">
        <x:v>/products/hydraulic-motors/</x:v>
      </x:c>
      <x:c r="K33" s="7" t="str">
        <x:v>Covered</x:v>
      </x:c>
      <x:c r="L33" s="7" t="str">
        <x:v>Optimize existing page</x:v>
      </x:c>
      <x:c r="M33" s="7" t="str">
        <x:v>Product / category</x:v>
      </x:c>
      <x:c r="N33" s="7" t="n">
        <x:v>4</x:v>
      </x:c>
      <x:c r="O33" s="7" t="n">
        <x:f>IF(B33&gt;=1000,5,IF(B33&gt;=300,4,IF(B33&gt;=100,3,IF(B33&gt;=30,2,IF(B33&gt;=10,1,0)))))</x:f>
        <x:v>3</x:v>
      </x:c>
      <x:c r="P33" s="7" t="n">
        <x:f>IF(C33&gt;=5,4,IF(C33&gt;=2,3,IF(C33&gt;=1,2,IF(C33&gt;0,1,0))))</x:f>
        <x:v>3</x:v>
      </x:c>
      <x:c r="Q33" s="7" t="n">
        <x:f>N33*2+O33+P33+IF(F33&gt;=0.2,1,0)+IF(K33="Gap",2,0)-IF(I33&lt;=2,5,0)</x:f>
        <x:v>14</x:v>
      </x:c>
      <x:c r="R33" s="7" t="str">
        <x:f>IF(I33&lt;=2,"D",IF(Q33&gt;=15,"A",IF(Q33&gt;=11,"B",IF(Q33&gt;=7,"C","D"))))</x:f>
        <x:v>B</x:v>
      </x:c>
      <x:c r="S33" s="12" t="n">
        <x:f>B33*'Dashboard'!$B$11</x:f>
        <x:v>11</x:v>
      </x:c>
      <x:c r="T33" s="10" t="n">
        <x:f>S33*'Dashboard'!$D$11</x:f>
        <x:v>0.22</x:v>
      </x:c>
      <x:c r="U33" s="7" t="str">
        <x:v>Align title, evidence, internal links and RFQ CTA with this search intent.</x:v>
      </x:c>
    </x:row>
    <x:row r="34" ht="19" customHeight="1">
      <x:c r="A34" s="7" t="str">
        <x:v>bosch rexroth parts</x:v>
      </x:c>
      <x:c r="B34" s="8" t="n">
        <x:v>90</x:v>
      </x:c>
      <x:c r="C34" s="9" t="n">
        <x:v>1.15</x:v>
      </x:c>
      <x:c r="D34" s="10" t="n">
        <x:v>0.67</x:v>
      </x:c>
      <x:c r="E34" s="8" t="n">
        <x:v>70</x:v>
      </x:c>
      <x:c r="F34" s="11" t="n">
        <x:v>-0.24999999999999997</x:v>
      </x:c>
      <x:c r="G34" s="7" t="str">
        <x:v>Commercial</x:v>
      </x:c>
      <x:c r="H34" s="7" t="str">
        <x:v>Brand Coverage</x:v>
      </x:c>
      <x:c r="I34" s="7" t="n">
        <x:v>4</x:v>
      </x:c>
      <x:c r="J34" s="7" t="str">
        <x:v>/brands/bosch-rexroth/</x:v>
      </x:c>
      <x:c r="K34" s="7" t="str">
        <x:v>Covered</x:v>
      </x:c>
      <x:c r="L34" s="7" t="str">
        <x:v>Optimize existing page</x:v>
      </x:c>
      <x:c r="M34" s="7" t="str">
        <x:v>Brand hub</x:v>
      </x:c>
      <x:c r="N34" s="7" t="n">
        <x:v>5</x:v>
      </x:c>
      <x:c r="O34" s="7" t="n">
        <x:f>IF(B34&gt;=1000,5,IF(B34&gt;=300,4,IF(B34&gt;=100,3,IF(B34&gt;=30,2,IF(B34&gt;=10,1,0)))))</x:f>
        <x:v>2</x:v>
      </x:c>
      <x:c r="P34" s="7" t="n">
        <x:f>IF(C34&gt;=5,4,IF(C34&gt;=2,3,IF(C34&gt;=1,2,IF(C34&gt;0,1,0))))</x:f>
        <x:v>2</x:v>
      </x:c>
      <x:c r="Q34" s="7" t="n">
        <x:f>N34*2+O34+P34+IF(F34&gt;=0.2,1,0)+IF(K34="Gap",2,0)-IF(I34&lt;=2,5,0)</x:f>
        <x:v>14</x:v>
      </x:c>
      <x:c r="R34" s="7" t="str">
        <x:f>IF(I34&lt;=2,"D",IF(Q34&gt;=15,"A",IF(Q34&gt;=11,"B",IF(Q34&gt;=7,"C","D"))))</x:f>
        <x:v>B</x:v>
      </x:c>
      <x:c r="S34" s="12" t="n">
        <x:f>B34*'Dashboard'!$B$11</x:f>
        <x:v>9</x:v>
      </x:c>
      <x:c r="T34" s="10" t="n">
        <x:f>S34*'Dashboard'!$D$11</x:f>
        <x:v>0.18</x:v>
      </x:c>
      <x:c r="U34" s="7" t="str">
        <x:v>Align title, evidence, internal links and RFQ CTA with this search intent.</x:v>
      </x:c>
    </x:row>
    <x:row r="35" ht="19" customHeight="1">
      <x:c r="A35" s="7" t="str">
        <x:v>hydraulic motor manufacturer</x:v>
      </x:c>
      <x:c r="B35" s="8" t="n">
        <x:v>90</x:v>
      </x:c>
      <x:c r="C35" s="9" t="n">
        <x:v>1.85</x:v>
      </x:c>
      <x:c r="D35" s="10" t="n">
        <x:v>0.12</x:v>
      </x:c>
      <x:c r="E35" s="8" t="n">
        <x:v>40</x:v>
      </x:c>
      <x:c r="F35" s="11" t="n">
        <x:v>-0.5897435897435898</x:v>
      </x:c>
      <x:c r="G35" s="7" t="str">
        <x:v>Transactional</x:v>
      </x:c>
      <x:c r="H35" s="7" t="str">
        <x:v>Hydraulic Motors</x:v>
      </x:c>
      <x:c r="I35" s="7" t="n">
        <x:v>5</x:v>
      </x:c>
      <x:c r="J35" s="7" t="str">
        <x:v>/products/hydraulic-motors/</x:v>
      </x:c>
      <x:c r="K35" s="7" t="str">
        <x:v>Covered</x:v>
      </x:c>
      <x:c r="L35" s="7" t="str">
        <x:v>Optimize existing page</x:v>
      </x:c>
      <x:c r="M35" s="7" t="str">
        <x:v>Product / category</x:v>
      </x:c>
      <x:c r="N35" s="7" t="n">
        <x:v>5</x:v>
      </x:c>
      <x:c r="O35" s="7" t="n">
        <x:f>IF(B35&gt;=1000,5,IF(B35&gt;=300,4,IF(B35&gt;=100,3,IF(B35&gt;=30,2,IF(B35&gt;=10,1,0)))))</x:f>
        <x:v>2</x:v>
      </x:c>
      <x:c r="P35" s="7" t="n">
        <x:f>IF(C35&gt;=5,4,IF(C35&gt;=2,3,IF(C35&gt;=1,2,IF(C35&gt;0,1,0))))</x:f>
        <x:v>2</x:v>
      </x:c>
      <x:c r="Q35" s="7" t="n">
        <x:f>N35*2+O35+P35+IF(F35&gt;=0.2,1,0)+IF(K35="Gap",2,0)-IF(I35&lt;=2,5,0)</x:f>
        <x:v>14</x:v>
      </x:c>
      <x:c r="R35" s="7" t="str">
        <x:f>IF(I35&lt;=2,"D",IF(Q35&gt;=15,"A",IF(Q35&gt;=11,"B",IF(Q35&gt;=7,"C","D"))))</x:f>
        <x:v>B</x:v>
      </x:c>
      <x:c r="S35" s="12" t="n">
        <x:f>B35*'Dashboard'!$B$11</x:f>
        <x:v>9</x:v>
      </x:c>
      <x:c r="T35" s="10" t="n">
        <x:f>S35*'Dashboard'!$D$11</x:f>
        <x:v>0.18</x:v>
      </x:c>
      <x:c r="U35" s="7" t="str">
        <x:v>Align title, evidence, internal links and RFQ CTA with this search intent.</x:v>
      </x:c>
    </x:row>
    <x:row r="36" ht="19" customHeight="1">
      <x:c r="A36" s="7" t="str">
        <x:v>hydraulic motor supplier</x:v>
      </x:c>
      <x:c r="B36" s="8" t="n">
        <x:v>90</x:v>
      </x:c>
      <x:c r="C36" s="9" t="n">
        <x:v>1.85</x:v>
      </x:c>
      <x:c r="D36" s="10" t="n">
        <x:v>0.12</x:v>
      </x:c>
      <x:c r="E36" s="8" t="n">
        <x:v>40</x:v>
      </x:c>
      <x:c r="F36" s="11" t="n">
        <x:v>-0.5897435897435898</x:v>
      </x:c>
      <x:c r="G36" s="7" t="str">
        <x:v>Transactional</x:v>
      </x:c>
      <x:c r="H36" s="7" t="str">
        <x:v>Hydraulic Motors</x:v>
      </x:c>
      <x:c r="I36" s="7" t="n">
        <x:v>5</x:v>
      </x:c>
      <x:c r="J36" s="7" t="str">
        <x:v>/products/hydraulic-motors/</x:v>
      </x:c>
      <x:c r="K36" s="7" t="str">
        <x:v>Covered</x:v>
      </x:c>
      <x:c r="L36" s="7" t="str">
        <x:v>Optimize existing page</x:v>
      </x:c>
      <x:c r="M36" s="7" t="str">
        <x:v>Product / category</x:v>
      </x:c>
      <x:c r="N36" s="7" t="n">
        <x:v>5</x:v>
      </x:c>
      <x:c r="O36" s="7" t="n">
        <x:f>IF(B36&gt;=1000,5,IF(B36&gt;=300,4,IF(B36&gt;=100,3,IF(B36&gt;=30,2,IF(B36&gt;=10,1,0)))))</x:f>
        <x:v>2</x:v>
      </x:c>
      <x:c r="P36" s="7" t="n">
        <x:f>IF(C36&gt;=5,4,IF(C36&gt;=2,3,IF(C36&gt;=1,2,IF(C36&gt;0,1,0))))</x:f>
        <x:v>2</x:v>
      </x:c>
      <x:c r="Q36" s="7" t="n">
        <x:f>N36*2+O36+P36+IF(F36&gt;=0.2,1,0)+IF(K36="Gap",2,0)-IF(I36&lt;=2,5,0)</x:f>
        <x:v>14</x:v>
      </x:c>
      <x:c r="R36" s="7" t="str">
        <x:f>IF(I36&lt;=2,"D",IF(Q36&gt;=15,"A",IF(Q36&gt;=11,"B",IF(Q36&gt;=7,"C","D"))))</x:f>
        <x:v>B</x:v>
      </x:c>
      <x:c r="S36" s="12" t="n">
        <x:f>B36*'Dashboard'!$B$11</x:f>
        <x:v>9</x:v>
      </x:c>
      <x:c r="T36" s="10" t="n">
        <x:f>S36*'Dashboard'!$D$11</x:f>
        <x:v>0.18</x:v>
      </x:c>
      <x:c r="U36" s="7" t="str">
        <x:v>Align title, evidence, internal links and RFQ CTA with this search intent.</x:v>
      </x:c>
    </x:row>
    <x:row r="37" ht="19" customHeight="1">
      <x:c r="A37" s="7" t="str">
        <x:v>hydraulic motor parts</x:v>
      </x:c>
      <x:c r="B37" s="8" t="n">
        <x:v>70</x:v>
      </x:c>
      <x:c r="C37" s="9" t="n">
        <x:v>1.36</x:v>
      </x:c>
      <x:c r="D37" s="10" t="n">
        <x:v>0.84</x:v>
      </x:c>
      <x:c r="E37" s="8" t="n">
        <x:v>30</x:v>
      </x:c>
      <x:c r="F37" s="11" t="n">
        <x:v>-0.5862068965517241</x:v>
      </x:c>
      <x:c r="G37" s="7" t="str">
        <x:v>Commercial</x:v>
      </x:c>
      <x:c r="H37" s="7" t="str">
        <x:v>Hydraulic Motors</x:v>
      </x:c>
      <x:c r="I37" s="7" t="n">
        <x:v>5</x:v>
      </x:c>
      <x:c r="J37" s="7" t="str">
        <x:v>/products/hydraulic-motors/</x:v>
      </x:c>
      <x:c r="K37" s="7" t="str">
        <x:v>Covered</x:v>
      </x:c>
      <x:c r="L37" s="7" t="str">
        <x:v>Optimize existing page</x:v>
      </x:c>
      <x:c r="M37" s="7" t="str">
        <x:v>Product / category</x:v>
      </x:c>
      <x:c r="N37" s="7" t="n">
        <x:v>5</x:v>
      </x:c>
      <x:c r="O37" s="7" t="n">
        <x:f>IF(B37&gt;=1000,5,IF(B37&gt;=300,4,IF(B37&gt;=100,3,IF(B37&gt;=30,2,IF(B37&gt;=10,1,0)))))</x:f>
        <x:v>2</x:v>
      </x:c>
      <x:c r="P37" s="7" t="n">
        <x:f>IF(C37&gt;=5,4,IF(C37&gt;=2,3,IF(C37&gt;=1,2,IF(C37&gt;0,1,0))))</x:f>
        <x:v>2</x:v>
      </x:c>
      <x:c r="Q37" s="7" t="n">
        <x:f>N37*2+O37+P37+IF(F37&gt;=0.2,1,0)+IF(K37="Gap",2,0)-IF(I37&lt;=2,5,0)</x:f>
        <x:v>14</x:v>
      </x:c>
      <x:c r="R37" s="7" t="str">
        <x:f>IF(I37&lt;=2,"D",IF(Q37&gt;=15,"A",IF(Q37&gt;=11,"B",IF(Q37&gt;=7,"C","D"))))</x:f>
        <x:v>B</x:v>
      </x:c>
      <x:c r="S37" s="12" t="n">
        <x:f>B37*'Dashboard'!$B$11</x:f>
        <x:v>7</x:v>
      </x:c>
      <x:c r="T37" s="10" t="n">
        <x:f>S37*'Dashboard'!$D$11</x:f>
        <x:v>0.14</x:v>
      </x:c>
      <x:c r="U37" s="7" t="str">
        <x:v>Align title, evidence, internal links and RFQ CTA with this search intent.</x:v>
      </x:c>
    </x:row>
    <x:row r="38" ht="19" customHeight="1">
      <x:c r="A38" s="7" t="str">
        <x:v>hydraulic pump replacement</x:v>
      </x:c>
      <x:c r="B38" s="8" t="n">
        <x:v>50</x:v>
      </x:c>
      <x:c r="C38" s="9" t="n">
        <x:v>0.32</x:v>
      </x:c>
      <x:c r="D38" s="10" t="n">
        <x:v>0.73</x:v>
      </x:c>
      <x:c r="E38" s="8" t="n">
        <x:v>90</x:v>
      </x:c>
      <x:c r="F38" s="11" t="n">
        <x:v>0.7704918032786885</x:v>
      </x:c>
      <x:c r="G38" s="7" t="str">
        <x:v>Commercial</x:v>
      </x:c>
      <x:c r="H38" s="7" t="str">
        <x:v>Replacement &amp; Cross-reference</x:v>
      </x:c>
      <x:c r="I38" s="7" t="n">
        <x:v>5</x:v>
      </x:c>
      <x:c r="J38" s="7" t="str">
        <x:v>/products/hydraulic-pumps/</x:v>
      </x:c>
      <x:c r="K38" s="7" t="str">
        <x:v>Covered</x:v>
      </x:c>
      <x:c r="L38" s="7" t="str">
        <x:v>Optimize existing page</x:v>
      </x:c>
      <x:c r="M38" s="7" t="str">
        <x:v>Alternative / cross-reference</x:v>
      </x:c>
      <x:c r="N38" s="7" t="n">
        <x:v>5</x:v>
      </x:c>
      <x:c r="O38" s="7" t="n">
        <x:f>IF(B38&gt;=1000,5,IF(B38&gt;=300,4,IF(B38&gt;=100,3,IF(B38&gt;=30,2,IF(B38&gt;=10,1,0)))))</x:f>
        <x:v>2</x:v>
      </x:c>
      <x:c r="P38" s="7" t="n">
        <x:f>IF(C38&gt;=5,4,IF(C38&gt;=2,3,IF(C38&gt;=1,2,IF(C38&gt;0,1,0))))</x:f>
        <x:v>1</x:v>
      </x:c>
      <x:c r="Q38" s="7" t="n">
        <x:f>N38*2+O38+P38+IF(F38&gt;=0.2,1,0)+IF(K38="Gap",2,0)-IF(I38&lt;=2,5,0)</x:f>
        <x:v>14</x:v>
      </x:c>
      <x:c r="R38" s="7" t="str">
        <x:f>IF(I38&lt;=2,"D",IF(Q38&gt;=15,"A",IF(Q38&gt;=11,"B",IF(Q38&gt;=7,"C","D"))))</x:f>
        <x:v>B</x:v>
      </x:c>
      <x:c r="S38" s="12" t="n">
        <x:f>B38*'Dashboard'!$B$11</x:f>
        <x:v>5</x:v>
      </x:c>
      <x:c r="T38" s="10" t="n">
        <x:f>S38*'Dashboard'!$D$11</x:f>
        <x:v>0.1</x:v>
      </x:c>
      <x:c r="U38" s="7" t="str">
        <x:v>Align title, evidence, internal links and RFQ CTA with this search intent.</x:v>
      </x:c>
    </x:row>
    <x:row r="39" ht="19" customHeight="1">
      <x:c r="A39" s="7" t="str">
        <x:v>hydraulic pump cross reference</x:v>
      </x:c>
      <x:c r="B39" s="8" t="n">
        <x:v>10</x:v>
      </x:c>
      <x:c r="C39" s="9" t="n">
        <x:v>1.81</x:v>
      </x:c>
      <x:c r="D39" s="10" t="n">
        <x:v>0.76</x:v>
      </x:c>
      <x:c r="E39" s="8" t="n">
        <x:v>20</x:v>
      </x:c>
      <x:c r="F39" s="11" t="n">
        <x:v>0.6</x:v>
      </x:c>
      <x:c r="G39" s="7" t="str">
        <x:v>Commercial</x:v>
      </x:c>
      <x:c r="H39" s="7" t="str">
        <x:v>Replacement &amp; Cross-reference</x:v>
      </x:c>
      <x:c r="I39" s="7" t="n">
        <x:v>5</x:v>
      </x:c>
      <x:c r="J39" s="7" t="str">
        <x:v>/cross-reference/</x:v>
      </x:c>
      <x:c r="K39" s="7" t="str">
        <x:v>Covered</x:v>
      </x:c>
      <x:c r="L39" s="7" t="str">
        <x:v>Optimize existing page</x:v>
      </x:c>
      <x:c r="M39" s="7" t="str">
        <x:v>Alternative / cross-reference</x:v>
      </x:c>
      <x:c r="N39" s="7" t="n">
        <x:v>5</x:v>
      </x:c>
      <x:c r="O39" s="7" t="n">
        <x:f>IF(B39&gt;=1000,5,IF(B39&gt;=300,4,IF(B39&gt;=100,3,IF(B39&gt;=30,2,IF(B39&gt;=10,1,0)))))</x:f>
        <x:v>1</x:v>
      </x:c>
      <x:c r="P39" s="7" t="n">
        <x:f>IF(C39&gt;=5,4,IF(C39&gt;=2,3,IF(C39&gt;=1,2,IF(C39&gt;0,1,0))))</x:f>
        <x:v>2</x:v>
      </x:c>
      <x:c r="Q39" s="7" t="n">
        <x:f>N39*2+O39+P39+IF(F39&gt;=0.2,1,0)+IF(K39="Gap",2,0)-IF(I39&lt;=2,5,0)</x:f>
        <x:v>14</x:v>
      </x:c>
      <x:c r="R39" s="7" t="str">
        <x:f>IF(I39&lt;=2,"D",IF(Q39&gt;=15,"A",IF(Q39&gt;=11,"B",IF(Q39&gt;=7,"C","D"))))</x:f>
        <x:v>B</x:v>
      </x:c>
      <x:c r="S39" s="12" t="n">
        <x:f>B39*'Dashboard'!$B$11</x:f>
        <x:v>1</x:v>
      </x:c>
      <x:c r="T39" s="10" t="n">
        <x:f>S39*'Dashboard'!$D$11</x:f>
        <x:v>0.02</x:v>
      </x:c>
      <x:c r="U39" s="7" t="str">
        <x:v>Align title, evidence, internal links and RFQ CTA with this search intent.</x:v>
      </x:c>
    </x:row>
    <x:row r="40" ht="19" customHeight="1">
      <x:c r="A40" s="7" t="str">
        <x:v>hydraulic pump distributor</x:v>
      </x:c>
      <x:c r="B40" s="8" t="n">
        <x:v>10</x:v>
      </x:c>
      <x:c r="C40" s="9" t="n">
        <x:v>2.67</x:v>
      </x:c>
      <x:c r="D40" s="10" t="n">
        <x:v>0.96</x:v>
      </x:c>
      <x:c r="E40" s="8" t="n">
        <x:v>10</x:v>
      </x:c>
      <x:c r="F40" s="11" t="n">
        <x:v>-0.368421052631579</x:v>
      </x:c>
      <x:c r="G40" s="7" t="str">
        <x:v>Transactional</x:v>
      </x:c>
      <x:c r="H40" s="7" t="str">
        <x:v>Hydraulic Pumps</x:v>
      </x:c>
      <x:c r="I40" s="7" t="n">
        <x:v>5</x:v>
      </x:c>
      <x:c r="J40" s="7" t="str">
        <x:v>/products/hydraulic-pumps/</x:v>
      </x:c>
      <x:c r="K40" s="7" t="str">
        <x:v>Covered</x:v>
      </x:c>
      <x:c r="L40" s="7" t="str">
        <x:v>Optimize existing page</x:v>
      </x:c>
      <x:c r="M40" s="7" t="str">
        <x:v>Product / category</x:v>
      </x:c>
      <x:c r="N40" s="7" t="n">
        <x:v>5</x:v>
      </x:c>
      <x:c r="O40" s="7" t="n">
        <x:f>IF(B40&gt;=1000,5,IF(B40&gt;=300,4,IF(B40&gt;=100,3,IF(B40&gt;=30,2,IF(B40&gt;=10,1,0)))))</x:f>
        <x:v>1</x:v>
      </x:c>
      <x:c r="P40" s="7" t="n">
        <x:f>IF(C40&gt;=5,4,IF(C40&gt;=2,3,IF(C40&gt;=1,2,IF(C40&gt;0,1,0))))</x:f>
        <x:v>3</x:v>
      </x:c>
      <x:c r="Q40" s="7" t="n">
        <x:f>N40*2+O40+P40+IF(F40&gt;=0.2,1,0)+IF(K40="Gap",2,0)-IF(I40&lt;=2,5,0)</x:f>
        <x:v>14</x:v>
      </x:c>
      <x:c r="R40" s="7" t="str">
        <x:f>IF(I40&lt;=2,"D",IF(Q40&gt;=15,"A",IF(Q40&gt;=11,"B",IF(Q40&gt;=7,"C","D"))))</x:f>
        <x:v>B</x:v>
      </x:c>
      <x:c r="S40" s="12" t="n">
        <x:f>B40*'Dashboard'!$B$11</x:f>
        <x:v>1</x:v>
      </x:c>
      <x:c r="T40" s="10" t="n">
        <x:f>S40*'Dashboard'!$D$11</x:f>
        <x:v>0.02</x:v>
      </x:c>
      <x:c r="U40" s="7" t="str">
        <x:v>Align title, evidence, internal links and RFQ CTA with this search intent.</x:v>
      </x:c>
    </x:row>
    <x:row r="41" ht="19" customHeight="1">
      <x:c r="A41" s="7" t="str">
        <x:v>bucher hydraulic pump</x:v>
      </x:c>
      <x:c r="B41" s="8" t="n">
        <x:v>590</x:v>
      </x:c>
      <x:c r="C41" s="9" t="n">
        <x:v>0.72</x:v>
      </x:c>
      <x:c r="D41" s="10" t="n">
        <x:v>1</x:v>
      </x:c>
      <x:c r="E41" s="8" t="n">
        <x:v>590</x:v>
      </x:c>
      <x:c r="F41" s="11" t="n">
        <x:v>-0.06842105263157901</x:v>
      </x:c>
      <x:c r="G41" s="7" t="str">
        <x:v>Product research</x:v>
      </x:c>
      <x:c r="H41" s="7" t="str">
        <x:v>Hydraulic Pumps</x:v>
      </x:c>
      <x:c r="I41" s="7" t="n">
        <x:v>5</x:v>
      </x:c>
      <x:c r="J41" s="7" t="str">
        <x:v>/products/hydraulic-pumps/</x:v>
      </x:c>
      <x:c r="K41" s="7" t="str">
        <x:v>Covered</x:v>
      </x:c>
      <x:c r="L41" s="7" t="str">
        <x:v>Optimize existing page</x:v>
      </x:c>
      <x:c r="M41" s="7" t="str">
        <x:v>Product / category</x:v>
      </x:c>
      <x:c r="N41" s="7" t="n">
        <x:v>4</x:v>
      </x:c>
      <x:c r="O41" s="7" t="n">
        <x:f>IF(B41&gt;=1000,5,IF(B41&gt;=300,4,IF(B41&gt;=100,3,IF(B41&gt;=30,2,IF(B41&gt;=10,1,0)))))</x:f>
        <x:v>4</x:v>
      </x:c>
      <x:c r="P41" s="7" t="n">
        <x:f>IF(C41&gt;=5,4,IF(C41&gt;=2,3,IF(C41&gt;=1,2,IF(C41&gt;0,1,0))))</x:f>
        <x:v>1</x:v>
      </x:c>
      <x:c r="Q41" s="7" t="n">
        <x:f>N41*2+O41+P41+IF(F41&gt;=0.2,1,0)+IF(K41="Gap",2,0)-IF(I41&lt;=2,5,0)</x:f>
        <x:v>13</x:v>
      </x:c>
      <x:c r="R41" s="7" t="str">
        <x:f>IF(I41&lt;=2,"D",IF(Q41&gt;=15,"A",IF(Q41&gt;=11,"B",IF(Q41&gt;=7,"C","D"))))</x:f>
        <x:v>B</x:v>
      </x:c>
      <x:c r="S41" s="12" t="n">
        <x:f>B41*'Dashboard'!$B$11</x:f>
        <x:v>59</x:v>
      </x:c>
      <x:c r="T41" s="10" t="n">
        <x:f>S41*'Dashboard'!$D$11</x:f>
        <x:v>1.18</x:v>
      </x:c>
      <x:c r="U41" s="7" t="str">
        <x:v>Align title, evidence, internal links and RFQ CTA with this search intent.</x:v>
      </x:c>
    </x:row>
    <x:row r="42" ht="19" customHeight="1">
      <x:c r="A42" s="7" t="str">
        <x:v>variable displacement pump</x:v>
      </x:c>
      <x:c r="B42" s="8" t="n">
        <x:v>480</x:v>
      </x:c>
      <x:c r="C42" s="9" t="n">
        <x:v>0.94</x:v>
      </x:c>
      <x:c r="D42" s="10" t="n">
        <x:v>0.31</x:v>
      </x:c>
      <x:c r="E42" s="8" t="n">
        <x:v>480</x:v>
      </x:c>
      <x:c r="F42" s="11" t="n">
        <x:v>0.012302284710017534</x:v>
      </x:c>
      <x:c r="G42" s="7" t="str">
        <x:v>Product research</x:v>
      </x:c>
      <x:c r="H42" s="7" t="str">
        <x:v>Hydraulic Pumps</x:v>
      </x:c>
      <x:c r="I42" s="7" t="n">
        <x:v>3</x:v>
      </x:c>
      <x:c r="J42" s="7" t="str">
        <x:v>/products/hydraulic-pumps/</x:v>
      </x:c>
      <x:c r="K42" s="7" t="str">
        <x:v>Covered</x:v>
      </x:c>
      <x:c r="L42" s="7" t="str">
        <x:v>Optimize existing page</x:v>
      </x:c>
      <x:c r="M42" s="7" t="str">
        <x:v>Product / category</x:v>
      </x:c>
      <x:c r="N42" s="7" t="n">
        <x:v>4</x:v>
      </x:c>
      <x:c r="O42" s="7" t="n">
        <x:f>IF(B42&gt;=1000,5,IF(B42&gt;=300,4,IF(B42&gt;=100,3,IF(B42&gt;=30,2,IF(B42&gt;=10,1,0)))))</x:f>
        <x:v>4</x:v>
      </x:c>
      <x:c r="P42" s="7" t="n">
        <x:f>IF(C42&gt;=5,4,IF(C42&gt;=2,3,IF(C42&gt;=1,2,IF(C42&gt;0,1,0))))</x:f>
        <x:v>1</x:v>
      </x:c>
      <x:c r="Q42" s="7" t="n">
        <x:f>N42*2+O42+P42+IF(F42&gt;=0.2,1,0)+IF(K42="Gap",2,0)-IF(I42&lt;=2,5,0)</x:f>
        <x:v>13</x:v>
      </x:c>
      <x:c r="R42" s="7" t="str">
        <x:f>IF(I42&lt;=2,"D",IF(Q42&gt;=15,"A",IF(Q42&gt;=11,"B",IF(Q42&gt;=7,"C","D"))))</x:f>
        <x:v>B</x:v>
      </x:c>
      <x:c r="S42" s="12" t="n">
        <x:f>B42*'Dashboard'!$B$11</x:f>
        <x:v>48</x:v>
      </x:c>
      <x:c r="T42" s="10" t="n">
        <x:f>S42*'Dashboard'!$D$11</x:f>
        <x:v>0.96</x:v>
      </x:c>
      <x:c r="U42" s="7" t="str">
        <x:v>Align title, evidence, internal links and RFQ CTA with this search intent.</x:v>
      </x:c>
    </x:row>
    <x:row r="43" ht="19" customHeight="1">
      <x:c r="A43" s="7" t="str">
        <x:v>orbital hydraulic motor</x:v>
      </x:c>
      <x:c r="B43" s="8" t="n">
        <x:v>390</x:v>
      </x:c>
      <x:c r="C43" s="9" t="n">
        <x:v>0.41</x:v>
      </x:c>
      <x:c r="D43" s="10" t="n">
        <x:v>1</x:v>
      </x:c>
      <x:c r="E43" s="8" t="n">
        <x:v>320</x:v>
      </x:c>
      <x:c r="F43" s="11" t="n">
        <x:v>-0.13122171945701352</x:v>
      </x:c>
      <x:c r="G43" s="7" t="str">
        <x:v>Product research</x:v>
      </x:c>
      <x:c r="H43" s="7" t="str">
        <x:v>Hydraulic Motors</x:v>
      </x:c>
      <x:c r="I43" s="7" t="n">
        <x:v>5</x:v>
      </x:c>
      <x:c r="J43" s="7" t="str">
        <x:v>/products/hydraulic-motors/orbital-hydraulic-motors/</x:v>
      </x:c>
      <x:c r="K43" s="7" t="str">
        <x:v>Covered</x:v>
      </x:c>
      <x:c r="L43" s="7" t="str">
        <x:v>Optimize existing page</x:v>
      </x:c>
      <x:c r="M43" s="7" t="str">
        <x:v>Product / category</x:v>
      </x:c>
      <x:c r="N43" s="7" t="n">
        <x:v>4</x:v>
      </x:c>
      <x:c r="O43" s="7" t="n">
        <x:f>IF(B43&gt;=1000,5,IF(B43&gt;=300,4,IF(B43&gt;=100,3,IF(B43&gt;=30,2,IF(B43&gt;=10,1,0)))))</x:f>
        <x:v>4</x:v>
      </x:c>
      <x:c r="P43" s="7" t="n">
        <x:f>IF(C43&gt;=5,4,IF(C43&gt;=2,3,IF(C43&gt;=1,2,IF(C43&gt;0,1,0))))</x:f>
        <x:v>1</x:v>
      </x:c>
      <x:c r="Q43" s="7" t="n">
        <x:f>N43*2+O43+P43+IF(F43&gt;=0.2,1,0)+IF(K43="Gap",2,0)-IF(I43&lt;=2,5,0)</x:f>
        <x:v>13</x:v>
      </x:c>
      <x:c r="R43" s="7" t="str">
        <x:f>IF(I43&lt;=2,"D",IF(Q43&gt;=15,"A",IF(Q43&gt;=11,"B",IF(Q43&gt;=7,"C","D"))))</x:f>
        <x:v>B</x:v>
      </x:c>
      <x:c r="S43" s="12" t="n">
        <x:f>B43*'Dashboard'!$B$11</x:f>
        <x:v>39</x:v>
      </x:c>
      <x:c r="T43" s="10" t="n">
        <x:f>S43*'Dashboard'!$D$11</x:f>
        <x:v>0.78</x:v>
      </x:c>
      <x:c r="U43" s="7" t="str">
        <x:v>Align title, evidence, internal links and RFQ CTA with this search intent.</x:v>
      </x:c>
    </x:row>
    <x:row r="44" ht="19" customHeight="1">
      <x:c r="A44" s="7" t="str">
        <x:v>hydraulic vane pump</x:v>
      </x:c>
      <x:c r="B44" s="8" t="n">
        <x:v>320</x:v>
      </x:c>
      <x:c r="C44" s="9" t="n">
        <x:v>0.74</x:v>
      </x:c>
      <x:c r="D44" s="10" t="n">
        <x:v>1</x:v>
      </x:c>
      <x:c r="E44" s="8" t="n">
        <x:v>320</x:v>
      </x:c>
      <x:c r="F44" s="11" t="n">
        <x:v>0.024</x:v>
      </x:c>
      <x:c r="G44" s="7" t="str">
        <x:v>Product research</x:v>
      </x:c>
      <x:c r="H44" s="7" t="str">
        <x:v>Hydraulic Pumps</x:v>
      </x:c>
      <x:c r="I44" s="7" t="n">
        <x:v>5</x:v>
      </x:c>
      <x:c r="J44" s="7" t="str">
        <x:v>/products/hydraulic-pumps/vane-pumps/</x:v>
      </x:c>
      <x:c r="K44" s="7" t="str">
        <x:v>Covered</x:v>
      </x:c>
      <x:c r="L44" s="7" t="str">
        <x:v>Optimize existing page</x:v>
      </x:c>
      <x:c r="M44" s="7" t="str">
        <x:v>Product / category</x:v>
      </x:c>
      <x:c r="N44" s="7" t="n">
        <x:v>4</x:v>
      </x:c>
      <x:c r="O44" s="7" t="n">
        <x:f>IF(B44&gt;=1000,5,IF(B44&gt;=300,4,IF(B44&gt;=100,3,IF(B44&gt;=30,2,IF(B44&gt;=10,1,0)))))</x:f>
        <x:v>4</x:v>
      </x:c>
      <x:c r="P44" s="7" t="n">
        <x:f>IF(C44&gt;=5,4,IF(C44&gt;=2,3,IF(C44&gt;=1,2,IF(C44&gt;0,1,0))))</x:f>
        <x:v>1</x:v>
      </x:c>
      <x:c r="Q44" s="7" t="n">
        <x:f>N44*2+O44+P44+IF(F44&gt;=0.2,1,0)+IF(K44="Gap",2,0)-IF(I44&lt;=2,5,0)</x:f>
        <x:v>13</x:v>
      </x:c>
      <x:c r="R44" s="7" t="str">
        <x:f>IF(I44&lt;=2,"D",IF(Q44&gt;=15,"A",IF(Q44&gt;=11,"B",IF(Q44&gt;=7,"C","D"))))</x:f>
        <x:v>B</x:v>
      </x:c>
      <x:c r="S44" s="12" t="n">
        <x:f>B44*'Dashboard'!$B$11</x:f>
        <x:v>32</x:v>
      </x:c>
      <x:c r="T44" s="10" t="n">
        <x:f>S44*'Dashboard'!$D$11</x:f>
        <x:v>0.64</x:v>
      </x:c>
      <x:c r="U44" s="7" t="str">
        <x:v>Align title, evidence, internal links and RFQ CTA with this search intent.</x:v>
      </x:c>
    </x:row>
    <x:row r="45" ht="19" customHeight="1">
      <x:c r="A45" s="7" t="str">
        <x:v>custom hydraulic cylinder</x:v>
      </x:c>
      <x:c r="B45" s="8" t="n">
        <x:v>210</x:v>
      </x:c>
      <x:c r="C45" s="9" t="n">
        <x:v>1.95</x:v>
      </x:c>
      <x:c r="D45" s="10" t="n">
        <x:v>0.7</x:v>
      </x:c>
      <x:c r="E45" s="8" t="n">
        <x:v>140</x:v>
      </x:c>
      <x:c r="F45" s="11" t="n">
        <x:v>-0.2695652173913043</x:v>
      </x:c>
      <x:c r="G45" s="7" t="str">
        <x:v>Product research</x:v>
      </x:c>
      <x:c r="H45" s="7" t="str">
        <x:v>Hydraulic Cylinders</x:v>
      </x:c>
      <x:c r="I45" s="7" t="n">
        <x:v>5</x:v>
      </x:c>
      <x:c r="J45" s="7" t="str">
        <x:v>/products/hydraulic-cylinders/custom-hydraulic-cylinders/</x:v>
      </x:c>
      <x:c r="K45" s="7" t="str">
        <x:v>Covered</x:v>
      </x:c>
      <x:c r="L45" s="7" t="str">
        <x:v>Optimize existing page</x:v>
      </x:c>
      <x:c r="M45" s="7" t="str">
        <x:v>Product / category</x:v>
      </x:c>
      <x:c r="N45" s="7" t="n">
        <x:v>4</x:v>
      </x:c>
      <x:c r="O45" s="7" t="n">
        <x:f>IF(B45&gt;=1000,5,IF(B45&gt;=300,4,IF(B45&gt;=100,3,IF(B45&gt;=30,2,IF(B45&gt;=10,1,0)))))</x:f>
        <x:v>3</x:v>
      </x:c>
      <x:c r="P45" s="7" t="n">
        <x:f>IF(C45&gt;=5,4,IF(C45&gt;=2,3,IF(C45&gt;=1,2,IF(C45&gt;0,1,0))))</x:f>
        <x:v>2</x:v>
      </x:c>
      <x:c r="Q45" s="7" t="n">
        <x:f>N45*2+O45+P45+IF(F45&gt;=0.2,1,0)+IF(K45="Gap",2,0)-IF(I45&lt;=2,5,0)</x:f>
        <x:v>13</x:v>
      </x:c>
      <x:c r="R45" s="7" t="str">
        <x:f>IF(I45&lt;=2,"D",IF(Q45&gt;=15,"A",IF(Q45&gt;=11,"B",IF(Q45&gt;=7,"C","D"))))</x:f>
        <x:v>B</x:v>
      </x:c>
      <x:c r="S45" s="12" t="n">
        <x:f>B45*'Dashboard'!$B$11</x:f>
        <x:v>21</x:v>
      </x:c>
      <x:c r="T45" s="10" t="n">
        <x:f>S45*'Dashboard'!$D$11</x:f>
        <x:v>0.42</x:v>
      </x:c>
      <x:c r="U45" s="7" t="str">
        <x:v>Align title, evidence, internal links and RFQ CTA with this search intent.</x:v>
      </x:c>
    </x:row>
    <x:row r="46" ht="19" customHeight="1">
      <x:c r="A46" s="7" t="str">
        <x:v>bucher hydraulic valve</x:v>
      </x:c>
      <x:c r="B46" s="8" t="n">
        <x:v>140</x:v>
      </x:c>
      <x:c r="C46" s="9" t="n">
        <x:v>1.16</x:v>
      </x:c>
      <x:c r="D46" s="10" t="n">
        <x:v>1</x:v>
      </x:c>
      <x:c r="E46" s="8" t="n">
        <x:v>110</x:v>
      </x:c>
      <x:c r="F46" s="11" t="n">
        <x:v>-0.08333333333333333</x:v>
      </x:c>
      <x:c r="G46" s="7" t="str">
        <x:v>Product research</x:v>
      </x:c>
      <x:c r="H46" s="7" t="str">
        <x:v>Hydraulic Valves</x:v>
      </x:c>
      <x:c r="I46" s="7" t="n">
        <x:v>5</x:v>
      </x:c>
      <x:c r="J46" s="7" t="str">
        <x:v>/products/hydraulic-valves/</x:v>
      </x:c>
      <x:c r="K46" s="7" t="str">
        <x:v>Covered</x:v>
      </x:c>
      <x:c r="L46" s="7" t="str">
        <x:v>Optimize existing page</x:v>
      </x:c>
      <x:c r="M46" s="7" t="str">
        <x:v>Product / category</x:v>
      </x:c>
      <x:c r="N46" s="7" t="n">
        <x:v>4</x:v>
      </x:c>
      <x:c r="O46" s="7" t="n">
        <x:f>IF(B46&gt;=1000,5,IF(B46&gt;=300,4,IF(B46&gt;=100,3,IF(B46&gt;=30,2,IF(B46&gt;=10,1,0)))))</x:f>
        <x:v>3</x:v>
      </x:c>
      <x:c r="P46" s="7" t="n">
        <x:f>IF(C46&gt;=5,4,IF(C46&gt;=2,3,IF(C46&gt;=1,2,IF(C46&gt;0,1,0))))</x:f>
        <x:v>2</x:v>
      </x:c>
      <x:c r="Q46" s="7" t="n">
        <x:f>N46*2+O46+P46+IF(F46&gt;=0.2,1,0)+IF(K46="Gap",2,0)-IF(I46&lt;=2,5,0)</x:f>
        <x:v>13</x:v>
      </x:c>
      <x:c r="R46" s="7" t="str">
        <x:f>IF(I46&lt;=2,"D",IF(Q46&gt;=15,"A",IF(Q46&gt;=11,"B",IF(Q46&gt;=7,"C","D"))))</x:f>
        <x:v>B</x:v>
      </x:c>
      <x:c r="S46" s="12" t="n">
        <x:f>B46*'Dashboard'!$B$11</x:f>
        <x:v>14</x:v>
      </x:c>
      <x:c r="T46" s="10" t="n">
        <x:f>S46*'Dashboard'!$D$11</x:f>
        <x:v>0.28</x:v>
      </x:c>
      <x:c r="U46" s="7" t="str">
        <x:v>Align title, evidence, internal links and RFQ CTA with this search intent.</x:v>
      </x:c>
    </x:row>
    <x:row r="47" ht="19" customHeight="1">
      <x:c r="A47" s="7" t="str">
        <x:v>hawe hydraulic valve</x:v>
      </x:c>
      <x:c r="B47" s="8" t="n">
        <x:v>110</x:v>
      </x:c>
      <x:c r="C47" s="9" t="n">
        <x:v>1.49</x:v>
      </x:c>
      <x:c r="D47" s="10" t="n">
        <x:v>0.91</x:v>
      </x:c>
      <x:c r="E47" s="8" t="n">
        <x:v>110</x:v>
      </x:c>
      <x:c r="F47" s="11" t="n">
        <x:v>-0.0149253731343284</x:v>
      </x:c>
      <x:c r="G47" s="7" t="str">
        <x:v>Product research</x:v>
      </x:c>
      <x:c r="H47" s="7" t="str">
        <x:v>Hydraulic Valves</x:v>
      </x:c>
      <x:c r="I47" s="7" t="n">
        <x:v>5</x:v>
      </x:c>
      <x:c r="J47" s="7" t="str">
        <x:v>/products/hydraulic-valves/</x:v>
      </x:c>
      <x:c r="K47" s="7" t="str">
        <x:v>Covered</x:v>
      </x:c>
      <x:c r="L47" s="7" t="str">
        <x:v>Optimize existing page</x:v>
      </x:c>
      <x:c r="M47" s="7" t="str">
        <x:v>Product / category</x:v>
      </x:c>
      <x:c r="N47" s="7" t="n">
        <x:v>4</x:v>
      </x:c>
      <x:c r="O47" s="7" t="n">
        <x:f>IF(B47&gt;=1000,5,IF(B47&gt;=300,4,IF(B47&gt;=100,3,IF(B47&gt;=30,2,IF(B47&gt;=10,1,0)))))</x:f>
        <x:v>3</x:v>
      </x:c>
      <x:c r="P47" s="7" t="n">
        <x:f>IF(C47&gt;=5,4,IF(C47&gt;=2,3,IF(C47&gt;=1,2,IF(C47&gt;0,1,0))))</x:f>
        <x:v>2</x:v>
      </x:c>
      <x:c r="Q47" s="7" t="n">
        <x:f>N47*2+O47+P47+IF(F47&gt;=0.2,1,0)+IF(K47="Gap",2,0)-IF(I47&lt;=2,5,0)</x:f>
        <x:v>13</x:v>
      </x:c>
      <x:c r="R47" s="7" t="str">
        <x:f>IF(I47&lt;=2,"D",IF(Q47&gt;=15,"A",IF(Q47&gt;=11,"B",IF(Q47&gt;=7,"C","D"))))</x:f>
        <x:v>B</x:v>
      </x:c>
      <x:c r="S47" s="12" t="n">
        <x:f>B47*'Dashboard'!$B$11</x:f>
        <x:v>11</x:v>
      </x:c>
      <x:c r="T47" s="10" t="n">
        <x:f>S47*'Dashboard'!$D$11</x:f>
        <x:v>0.22</x:v>
      </x:c>
      <x:c r="U47" s="7" t="str">
        <x:v>Align title, evidence, internal links and RFQ CTA with this search intent.</x:v>
      </x:c>
    </x:row>
    <x:row r="48" ht="19" customHeight="1">
      <x:c r="A48" s="7" t="str">
        <x:v>hydraulic valve parts</x:v>
      </x:c>
      <x:c r="B48" s="8" t="n">
        <x:v>70</x:v>
      </x:c>
      <x:c r="C48" s="9" t="n">
        <x:v>0.25</x:v>
      </x:c>
      <x:c r="D48" s="10" t="n">
        <x:v>0.99</x:v>
      </x:c>
      <x:c r="E48" s="8" t="n">
        <x:v>90</x:v>
      </x:c>
      <x:c r="F48" s="11" t="n">
        <x:v>0.1739130434782608</x:v>
      </x:c>
      <x:c r="G48" s="7" t="str">
        <x:v>Commercial</x:v>
      </x:c>
      <x:c r="H48" s="7" t="str">
        <x:v>Hydraulic Valves</x:v>
      </x:c>
      <x:c r="I48" s="7" t="n">
        <x:v>5</x:v>
      </x:c>
      <x:c r="J48" s="7" t="str">
        <x:v>/products/hydraulic-valves/</x:v>
      </x:c>
      <x:c r="K48" s="7" t="str">
        <x:v>Covered</x:v>
      </x:c>
      <x:c r="L48" s="7" t="str">
        <x:v>Optimize existing page</x:v>
      </x:c>
      <x:c r="M48" s="7" t="str">
        <x:v>Product / category</x:v>
      </x:c>
      <x:c r="N48" s="7" t="n">
        <x:v>5</x:v>
      </x:c>
      <x:c r="O48" s="7" t="n">
        <x:f>IF(B48&gt;=1000,5,IF(B48&gt;=300,4,IF(B48&gt;=100,3,IF(B48&gt;=30,2,IF(B48&gt;=10,1,0)))))</x:f>
        <x:v>2</x:v>
      </x:c>
      <x:c r="P48" s="7" t="n">
        <x:f>IF(C48&gt;=5,4,IF(C48&gt;=2,3,IF(C48&gt;=1,2,IF(C48&gt;0,1,0))))</x:f>
        <x:v>1</x:v>
      </x:c>
      <x:c r="Q48" s="7" t="n">
        <x:f>N48*2+O48+P48+IF(F48&gt;=0.2,1,0)+IF(K48="Gap",2,0)-IF(I48&lt;=2,5,0)</x:f>
        <x:v>13</x:v>
      </x:c>
      <x:c r="R48" s="7" t="str">
        <x:f>IF(I48&lt;=2,"D",IF(Q48&gt;=15,"A",IF(Q48&gt;=11,"B",IF(Q48&gt;=7,"C","D"))))</x:f>
        <x:v>B</x:v>
      </x:c>
      <x:c r="S48" s="12" t="n">
        <x:f>B48*'Dashboard'!$B$11</x:f>
        <x:v>7</x:v>
      </x:c>
      <x:c r="T48" s="10" t="n">
        <x:f>S48*'Dashboard'!$D$11</x:f>
        <x:v>0.14</x:v>
      </x:c>
      <x:c r="U48" s="7" t="str">
        <x:v>Align title, evidence, internal links and RFQ CTA with this search intent.</x:v>
      </x:c>
    </x:row>
    <x:row r="49" ht="19" customHeight="1">
      <x:c r="A49" s="7" t="str">
        <x:v>linde hydraulic motor</x:v>
      </x:c>
      <x:c r="B49" s="8" t="n">
        <x:v>30</x:v>
      </x:c>
      <x:c r="C49" s="9" t="n">
        <x:v>1.77</x:v>
      </x:c>
      <x:c r="D49" s="10" t="n">
        <x:v>0.54</x:v>
      </x:c>
      <x:c r="E49" s="8" t="n">
        <x:v>40</x:v>
      </x:c>
      <x:c r="F49" s="11" t="n">
        <x:v>0.45454545454545453</x:v>
      </x:c>
      <x:c r="G49" s="7" t="str">
        <x:v>Product research</x:v>
      </x:c>
      <x:c r="H49" s="7" t="str">
        <x:v>Hydraulic Motors</x:v>
      </x:c>
      <x:c r="I49" s="7" t="n">
        <x:v>5</x:v>
      </x:c>
      <x:c r="J49" s="7" t="str">
        <x:v>/products/hydraulic-motors/</x:v>
      </x:c>
      <x:c r="K49" s="7" t="str">
        <x:v>Covered</x:v>
      </x:c>
      <x:c r="L49" s="7" t="str">
        <x:v>Optimize existing page</x:v>
      </x:c>
      <x:c r="M49" s="7" t="str">
        <x:v>Product / category</x:v>
      </x:c>
      <x:c r="N49" s="7" t="n">
        <x:v>4</x:v>
      </x:c>
      <x:c r="O49" s="7" t="n">
        <x:f>IF(B49&gt;=1000,5,IF(B49&gt;=300,4,IF(B49&gt;=100,3,IF(B49&gt;=30,2,IF(B49&gt;=10,1,0)))))</x:f>
        <x:v>2</x:v>
      </x:c>
      <x:c r="P49" s="7" t="n">
        <x:f>IF(C49&gt;=5,4,IF(C49&gt;=2,3,IF(C49&gt;=1,2,IF(C49&gt;0,1,0))))</x:f>
        <x:v>2</x:v>
      </x:c>
      <x:c r="Q49" s="7" t="n">
        <x:f>N49*2+O49+P49+IF(F49&gt;=0.2,1,0)+IF(K49="Gap",2,0)-IF(I49&lt;=2,5,0)</x:f>
        <x:v>13</x:v>
      </x:c>
      <x:c r="R49" s="7" t="str">
        <x:f>IF(I49&lt;=2,"D",IF(Q49&gt;=15,"A",IF(Q49&gt;=11,"B",IF(Q49&gt;=7,"C","D"))))</x:f>
        <x:v>B</x:v>
      </x:c>
      <x:c r="S49" s="12" t="n">
        <x:f>B49*'Dashboard'!$B$11</x:f>
        <x:v>3</x:v>
      </x:c>
      <x:c r="T49" s="10" t="n">
        <x:f>S49*'Dashboard'!$D$11</x:f>
        <x:v>0.06</x:v>
      </x:c>
      <x:c r="U49" s="7" t="str">
        <x:v>Align title, evidence, internal links and RFQ CTA with this search intent.</x:v>
      </x:c>
    </x:row>
    <x:row r="50" ht="19" customHeight="1">
      <x:c r="A50" s="7" t="str">
        <x:v>casappa hydraulic pump</x:v>
      </x:c>
      <x:c r="B50" s="8" t="n">
        <x:v>260</x:v>
      </x:c>
      <x:c r="C50" s="9" t="n">
        <x:v>0.95</x:v>
      </x:c>
      <x:c r="D50" s="10" t="n">
        <x:v>1</x:v>
      </x:c>
      <x:c r="E50" s="8" t="n">
        <x:v>260</x:v>
      </x:c>
      <x:c r="F50" s="11" t="n">
        <x:v>-0.04878048780487798</x:v>
      </x:c>
      <x:c r="G50" s="7" t="str">
        <x:v>Product research</x:v>
      </x:c>
      <x:c r="H50" s="7" t="str">
        <x:v>Hydraulic Pumps</x:v>
      </x:c>
      <x:c r="I50" s="7" t="n">
        <x:v>5</x:v>
      </x:c>
      <x:c r="J50" s="7" t="str">
        <x:v>/products/hydraulic-pumps/</x:v>
      </x:c>
      <x:c r="K50" s="7" t="str">
        <x:v>Covered</x:v>
      </x:c>
      <x:c r="L50" s="7" t="str">
        <x:v>Optimize existing page</x:v>
      </x:c>
      <x:c r="M50" s="7" t="str">
        <x:v>Product / category</x:v>
      </x:c>
      <x:c r="N50" s="7" t="n">
        <x:v>4</x:v>
      </x:c>
      <x:c r="O50" s="7" t="n">
        <x:f>IF(B50&gt;=1000,5,IF(B50&gt;=300,4,IF(B50&gt;=100,3,IF(B50&gt;=30,2,IF(B50&gt;=10,1,0)))))</x:f>
        <x:v>3</x:v>
      </x:c>
      <x:c r="P50" s="7" t="n">
        <x:f>IF(C50&gt;=5,4,IF(C50&gt;=2,3,IF(C50&gt;=1,2,IF(C50&gt;0,1,0))))</x:f>
        <x:v>1</x:v>
      </x:c>
      <x:c r="Q50" s="7" t="n">
        <x:f>N50*2+O50+P50+IF(F50&gt;=0.2,1,0)+IF(K50="Gap",2,0)-IF(I50&lt;=2,5,0)</x:f>
        <x:v>12</x:v>
      </x:c>
      <x:c r="R50" s="7" t="str">
        <x:f>IF(I50&lt;=2,"D",IF(Q50&gt;=15,"A",IF(Q50&gt;=11,"B",IF(Q50&gt;=7,"C","D"))))</x:f>
        <x:v>B</x:v>
      </x:c>
      <x:c r="S50" s="12" t="n">
        <x:f>B50*'Dashboard'!$B$11</x:f>
        <x:v>26</x:v>
      </x:c>
      <x:c r="T50" s="10" t="n">
        <x:f>S50*'Dashboard'!$D$11</x:f>
        <x:v>0.52</x:v>
      </x:c>
      <x:c r="U50" s="7" t="str">
        <x:v>Align title, evidence, internal links and RFQ CTA with this search intent.</x:v>
      </x:c>
    </x:row>
    <x:row r="51" ht="19" customHeight="1">
      <x:c r="A51" s="7" t="str">
        <x:v>radial piston motor</x:v>
      </x:c>
      <x:c r="B51" s="8" t="n">
        <x:v>170</x:v>
      </x:c>
      <x:c r="C51" s="9" t="n">
        <x:v>0.37</x:v>
      </x:c>
      <x:c r="D51" s="10" t="n">
        <x:v>0.44</x:v>
      </x:c>
      <x:c r="E51" s="8" t="n">
        <x:v>50</x:v>
      </x:c>
      <x:c r="F51" s="11" t="n">
        <x:v>-0.7073170731707317</x:v>
      </x:c>
      <x:c r="G51" s="7" t="str">
        <x:v>Product research</x:v>
      </x:c>
      <x:c r="H51" s="7" t="str">
        <x:v>Hydraulic Motors</x:v>
      </x:c>
      <x:c r="I51" s="7" t="n">
        <x:v>3</x:v>
      </x:c>
      <x:c r="J51" s="7" t="str">
        <x:v>/products/hydraulic-motors/radial-piston-motors/</x:v>
      </x:c>
      <x:c r="K51" s="7" t="str">
        <x:v>Covered</x:v>
      </x:c>
      <x:c r="L51" s="7" t="str">
        <x:v>Optimize existing page</x:v>
      </x:c>
      <x:c r="M51" s="7" t="str">
        <x:v>Product / category</x:v>
      </x:c>
      <x:c r="N51" s="7" t="n">
        <x:v>4</x:v>
      </x:c>
      <x:c r="O51" s="7" t="n">
        <x:f>IF(B51&gt;=1000,5,IF(B51&gt;=300,4,IF(B51&gt;=100,3,IF(B51&gt;=30,2,IF(B51&gt;=10,1,0)))))</x:f>
        <x:v>3</x:v>
      </x:c>
      <x:c r="P51" s="7" t="n">
        <x:f>IF(C51&gt;=5,4,IF(C51&gt;=2,3,IF(C51&gt;=1,2,IF(C51&gt;0,1,0))))</x:f>
        <x:v>1</x:v>
      </x:c>
      <x:c r="Q51" s="7" t="n">
        <x:f>N51*2+O51+P51+IF(F51&gt;=0.2,1,0)+IF(K51="Gap",2,0)-IF(I51&lt;=2,5,0)</x:f>
        <x:v>12</x:v>
      </x:c>
      <x:c r="R51" s="7" t="str">
        <x:f>IF(I51&lt;=2,"D",IF(Q51&gt;=15,"A",IF(Q51&gt;=11,"B",IF(Q51&gt;=7,"C","D"))))</x:f>
        <x:v>B</x:v>
      </x:c>
      <x:c r="S51" s="12" t="n">
        <x:f>B51*'Dashboard'!$B$11</x:f>
        <x:v>17</x:v>
      </x:c>
      <x:c r="T51" s="10" t="n">
        <x:f>S51*'Dashboard'!$D$11</x:f>
        <x:v>0.34</x:v>
      </x:c>
      <x:c r="U51" s="7" t="str">
        <x:v>Align title, evidence, internal links and RFQ CTA with this search intent.</x:v>
      </x:c>
    </x:row>
    <x:row r="52" ht="19" customHeight="1">
      <x:c r="A52" s="7" t="str">
        <x:v>bosch rexroth hydraulic motor</x:v>
      </x:c>
      <x:c r="B52" s="8" t="n">
        <x:v>110</x:v>
      </x:c>
      <x:c r="C52" s="9" t="n">
        <x:v>0.97</x:v>
      </x:c>
      <x:c r="D52" s="10" t="n">
        <x:v>0.92</x:v>
      </x:c>
      <x:c r="E52" s="8" t="n">
        <x:v>90</x:v>
      </x:c>
      <x:c r="F52" s="11" t="n">
        <x:v>-0.14960629921259838</x:v>
      </x:c>
      <x:c r="G52" s="7" t="str">
        <x:v>Product research</x:v>
      </x:c>
      <x:c r="H52" s="7" t="str">
        <x:v>Hydraulic Motors</x:v>
      </x:c>
      <x:c r="I52" s="7" t="n">
        <x:v>5</x:v>
      </x:c>
      <x:c r="J52" s="7" t="str">
        <x:v>/products/hydraulic-motors/</x:v>
      </x:c>
      <x:c r="K52" s="7" t="str">
        <x:v>Covered</x:v>
      </x:c>
      <x:c r="L52" s="7" t="str">
        <x:v>Optimize existing page</x:v>
      </x:c>
      <x:c r="M52" s="7" t="str">
        <x:v>Product / category</x:v>
      </x:c>
      <x:c r="N52" s="7" t="n">
        <x:v>4</x:v>
      </x:c>
      <x:c r="O52" s="7" t="n">
        <x:f>IF(B52&gt;=1000,5,IF(B52&gt;=300,4,IF(B52&gt;=100,3,IF(B52&gt;=30,2,IF(B52&gt;=10,1,0)))))</x:f>
        <x:v>3</x:v>
      </x:c>
      <x:c r="P52" s="7" t="n">
        <x:f>IF(C52&gt;=5,4,IF(C52&gt;=2,3,IF(C52&gt;=1,2,IF(C52&gt;0,1,0))))</x:f>
        <x:v>1</x:v>
      </x:c>
      <x:c r="Q52" s="7" t="n">
        <x:f>N52*2+O52+P52+IF(F52&gt;=0.2,1,0)+IF(K52="Gap",2,0)-IF(I52&lt;=2,5,0)</x:f>
        <x:v>12</x:v>
      </x:c>
      <x:c r="R52" s="7" t="str">
        <x:f>IF(I52&lt;=2,"D",IF(Q52&gt;=15,"A",IF(Q52&gt;=11,"B",IF(Q52&gt;=7,"C","D"))))</x:f>
        <x:v>B</x:v>
      </x:c>
      <x:c r="S52" s="12" t="n">
        <x:f>B52*'Dashboard'!$B$11</x:f>
        <x:v>11</x:v>
      </x:c>
      <x:c r="T52" s="10" t="n">
        <x:f>S52*'Dashboard'!$D$11</x:f>
        <x:v>0.22</x:v>
      </x:c>
      <x:c r="U52" s="7" t="str">
        <x:v>Align title, evidence, internal links and RFQ CTA with this search intent.</x:v>
      </x:c>
    </x:row>
    <x:row r="53" ht="19" customHeight="1">
      <x:c r="A53" s="7" t="str">
        <x:v>kawasaki hydraulic pump</x:v>
      </x:c>
      <x:c r="B53" s="8" t="n">
        <x:v>90</x:v>
      </x:c>
      <x:c r="C53" s="9" t="n">
        <x:v>1.83</x:v>
      </x:c>
      <x:c r="D53" s="10" t="n">
        <x:v>0.77</x:v>
      </x:c>
      <x:c r="E53" s="8" t="n">
        <x:v>70</x:v>
      </x:c>
      <x:c r="F53" s="11" t="n">
        <x:v>-0.29411764705882354</x:v>
      </x:c>
      <x:c r="G53" s="7" t="str">
        <x:v>Product research</x:v>
      </x:c>
      <x:c r="H53" s="7" t="str">
        <x:v>Hydraulic Pumps</x:v>
      </x:c>
      <x:c r="I53" s="7" t="n">
        <x:v>5</x:v>
      </x:c>
      <x:c r="J53" s="7" t="str">
        <x:v>/products/hydraulic-pumps/</x:v>
      </x:c>
      <x:c r="K53" s="7" t="str">
        <x:v>Covered</x:v>
      </x:c>
      <x:c r="L53" s="7" t="str">
        <x:v>Optimize existing page</x:v>
      </x:c>
      <x:c r="M53" s="7" t="str">
        <x:v>Product / category</x:v>
      </x:c>
      <x:c r="N53" s="7" t="n">
        <x:v>4</x:v>
      </x:c>
      <x:c r="O53" s="7" t="n">
        <x:f>IF(B53&gt;=1000,5,IF(B53&gt;=300,4,IF(B53&gt;=100,3,IF(B53&gt;=30,2,IF(B53&gt;=10,1,0)))))</x:f>
        <x:v>2</x:v>
      </x:c>
      <x:c r="P53" s="7" t="n">
        <x:f>IF(C53&gt;=5,4,IF(C53&gt;=2,3,IF(C53&gt;=1,2,IF(C53&gt;0,1,0))))</x:f>
        <x:v>2</x:v>
      </x:c>
      <x:c r="Q53" s="7" t="n">
        <x:f>N53*2+O53+P53+IF(F53&gt;=0.2,1,0)+IF(K53="Gap",2,0)-IF(I53&lt;=2,5,0)</x:f>
        <x:v>12</x:v>
      </x:c>
      <x:c r="R53" s="7" t="str">
        <x:f>IF(I53&lt;=2,"D",IF(Q53&gt;=15,"A",IF(Q53&gt;=11,"B",IF(Q53&gt;=7,"C","D"))))</x:f>
        <x:v>B</x:v>
      </x:c>
      <x:c r="S53" s="12" t="n">
        <x:f>B53*'Dashboard'!$B$11</x:f>
        <x:v>9</x:v>
      </x:c>
      <x:c r="T53" s="10" t="n">
        <x:f>S53*'Dashboard'!$D$11</x:f>
        <x:v>0.18</x:v>
      </x:c>
      <x:c r="U53" s="7" t="str">
        <x:v>Align title, evidence, internal links and RFQ CTA with this search intent.</x:v>
      </x:c>
    </x:row>
    <x:row r="54" ht="19" customHeight="1">
      <x:c r="A54" s="7" t="str">
        <x:v>solenoid directional valve</x:v>
      </x:c>
      <x:c r="B54" s="8" t="n">
        <x:v>70</x:v>
      </x:c>
      <x:c r="C54" s="9" t="n">
        <x:v>1.21</x:v>
      </x:c>
      <x:c r="D54" s="10" t="n">
        <x:v>0.98</x:v>
      </x:c>
      <x:c r="E54" s="8" t="n">
        <x:v>70</x:v>
      </x:c>
      <x:c r="F54" s="11" t="n">
        <x:v>-0.023255813953488438</x:v>
      </x:c>
      <x:c r="G54" s="7" t="str">
        <x:v>Product research</x:v>
      </x:c>
      <x:c r="H54" s="7" t="str">
        <x:v>Hydraulic Valves</x:v>
      </x:c>
      <x:c r="I54" s="7" t="n">
        <x:v>3</x:v>
      </x:c>
      <x:c r="J54" s="7" t="str">
        <x:v>/products/hydraulic-valves/solenoid-directional-valves/</x:v>
      </x:c>
      <x:c r="K54" s="7" t="str">
        <x:v>Covered</x:v>
      </x:c>
      <x:c r="L54" s="7" t="str">
        <x:v>Optimize existing page</x:v>
      </x:c>
      <x:c r="M54" s="7" t="str">
        <x:v>Product / category</x:v>
      </x:c>
      <x:c r="N54" s="7" t="n">
        <x:v>4</x:v>
      </x:c>
      <x:c r="O54" s="7" t="n">
        <x:f>IF(B54&gt;=1000,5,IF(B54&gt;=300,4,IF(B54&gt;=100,3,IF(B54&gt;=30,2,IF(B54&gt;=10,1,0)))))</x:f>
        <x:v>2</x:v>
      </x:c>
      <x:c r="P54" s="7" t="n">
        <x:f>IF(C54&gt;=5,4,IF(C54&gt;=2,3,IF(C54&gt;=1,2,IF(C54&gt;0,1,0))))</x:f>
        <x:v>2</x:v>
      </x:c>
      <x:c r="Q54" s="7" t="n">
        <x:f>N54*2+O54+P54+IF(F54&gt;=0.2,1,0)+IF(K54="Gap",2,0)-IF(I54&lt;=2,5,0)</x:f>
        <x:v>12</x:v>
      </x:c>
      <x:c r="R54" s="7" t="str">
        <x:f>IF(I54&lt;=2,"D",IF(Q54&gt;=15,"A",IF(Q54&gt;=11,"B",IF(Q54&gt;=7,"C","D"))))</x:f>
        <x:v>B</x:v>
      </x:c>
      <x:c r="S54" s="12" t="n">
        <x:f>B54*'Dashboard'!$B$11</x:f>
        <x:v>7</x:v>
      </x:c>
      <x:c r="T54" s="10" t="n">
        <x:f>S54*'Dashboard'!$D$11</x:f>
        <x:v>0.14</x:v>
      </x:c>
      <x:c r="U54" s="7" t="str">
        <x:v>Align title, evidence, internal links and RFQ CTA with this search intent.</x:v>
      </x:c>
    </x:row>
    <x:row r="55" ht="19" customHeight="1">
      <x:c r="A55" s="7" t="str">
        <x:v>casappa hydraulic motor</x:v>
      </x:c>
      <x:c r="B55" s="8" t="n">
        <x:v>50</x:v>
      </x:c>
      <x:c r="C55" s="9" t="n">
        <x:v>1.16</x:v>
      </x:c>
      <x:c r="D55" s="10" t="n">
        <x:v>1</x:v>
      </x:c>
      <x:c r="E55" s="8" t="n">
        <x:v>40</x:v>
      </x:c>
      <x:c r="F55" s="11" t="n">
        <x:v>-0.09433962264150939</x:v>
      </x:c>
      <x:c r="G55" s="7" t="str">
        <x:v>Product research</x:v>
      </x:c>
      <x:c r="H55" s="7" t="str">
        <x:v>Hydraulic Motors</x:v>
      </x:c>
      <x:c r="I55" s="7" t="n">
        <x:v>5</x:v>
      </x:c>
      <x:c r="J55" s="7" t="str">
        <x:v>/products/hydraulic-motors/</x:v>
      </x:c>
      <x:c r="K55" s="7" t="str">
        <x:v>Covered</x:v>
      </x:c>
      <x:c r="L55" s="7" t="str">
        <x:v>Optimize existing page</x:v>
      </x:c>
      <x:c r="M55" s="7" t="str">
        <x:v>Product / category</x:v>
      </x:c>
      <x:c r="N55" s="7" t="n">
        <x:v>4</x:v>
      </x:c>
      <x:c r="O55" s="7" t="n">
        <x:f>IF(B55&gt;=1000,5,IF(B55&gt;=300,4,IF(B55&gt;=100,3,IF(B55&gt;=30,2,IF(B55&gt;=10,1,0)))))</x:f>
        <x:v>2</x:v>
      </x:c>
      <x:c r="P55" s="7" t="n">
        <x:f>IF(C55&gt;=5,4,IF(C55&gt;=2,3,IF(C55&gt;=1,2,IF(C55&gt;0,1,0))))</x:f>
        <x:v>2</x:v>
      </x:c>
      <x:c r="Q55" s="7" t="n">
        <x:f>N55*2+O55+P55+IF(F55&gt;=0.2,1,0)+IF(K55="Gap",2,0)-IF(I55&lt;=2,5,0)</x:f>
        <x:v>12</x:v>
      </x:c>
      <x:c r="R55" s="7" t="str">
        <x:f>IF(I55&lt;=2,"D",IF(Q55&gt;=15,"A",IF(Q55&gt;=11,"B",IF(Q55&gt;=7,"C","D"))))</x:f>
        <x:v>B</x:v>
      </x:c>
      <x:c r="S55" s="12" t="n">
        <x:f>B55*'Dashboard'!$B$11</x:f>
        <x:v>5</x:v>
      </x:c>
      <x:c r="T55" s="10" t="n">
        <x:f>S55*'Dashboard'!$D$11</x:f>
        <x:v>0.1</x:v>
      </x:c>
      <x:c r="U55" s="7" t="str">
        <x:v>Align title, evidence, internal links and RFQ CTA with this search intent.</x:v>
      </x:c>
    </x:row>
    <x:row r="56" ht="19" customHeight="1">
      <x:c r="A56" s="7" t="str">
        <x:v>denison hydraulic pump</x:v>
      </x:c>
      <x:c r="B56" s="8" t="n">
        <x:v>50</x:v>
      </x:c>
      <x:c r="C56" s="9" t="n">
        <x:v>1.89</x:v>
      </x:c>
      <x:c r="D56" s="10" t="n">
        <x:v>0.69</x:v>
      </x:c>
      <x:c r="E56" s="8" t="n">
        <x:v>50</x:v>
      </x:c>
      <x:c r="F56" s="11" t="n">
        <x:v>-0.13043478260869565</x:v>
      </x:c>
      <x:c r="G56" s="7" t="str">
        <x:v>Product research</x:v>
      </x:c>
      <x:c r="H56" s="7" t="str">
        <x:v>Hydraulic Pumps</x:v>
      </x:c>
      <x:c r="I56" s="7" t="n">
        <x:v>5</x:v>
      </x:c>
      <x:c r="J56" s="7" t="str">
        <x:v>/products/hydraulic-pumps/</x:v>
      </x:c>
      <x:c r="K56" s="7" t="str">
        <x:v>Covered</x:v>
      </x:c>
      <x:c r="L56" s="7" t="str">
        <x:v>Optimize existing page</x:v>
      </x:c>
      <x:c r="M56" s="7" t="str">
        <x:v>Product / category</x:v>
      </x:c>
      <x:c r="N56" s="7" t="n">
        <x:v>4</x:v>
      </x:c>
      <x:c r="O56" s="7" t="n">
        <x:f>IF(B56&gt;=1000,5,IF(B56&gt;=300,4,IF(B56&gt;=100,3,IF(B56&gt;=30,2,IF(B56&gt;=10,1,0)))))</x:f>
        <x:v>2</x:v>
      </x:c>
      <x:c r="P56" s="7" t="n">
        <x:f>IF(C56&gt;=5,4,IF(C56&gt;=2,3,IF(C56&gt;=1,2,IF(C56&gt;0,1,0))))</x:f>
        <x:v>2</x:v>
      </x:c>
      <x:c r="Q56" s="7" t="n">
        <x:f>N56*2+O56+P56+IF(F56&gt;=0.2,1,0)+IF(K56="Gap",2,0)-IF(I56&lt;=2,5,0)</x:f>
        <x:v>12</x:v>
      </x:c>
      <x:c r="R56" s="7" t="str">
        <x:f>IF(I56&lt;=2,"D",IF(Q56&gt;=15,"A",IF(Q56&gt;=11,"B",IF(Q56&gt;=7,"C","D"))))</x:f>
        <x:v>B</x:v>
      </x:c>
      <x:c r="S56" s="12" t="n">
        <x:f>B56*'Dashboard'!$B$11</x:f>
        <x:v>5</x:v>
      </x:c>
      <x:c r="T56" s="10" t="n">
        <x:f>S56*'Dashboard'!$D$11</x:f>
        <x:v>0.1</x:v>
      </x:c>
      <x:c r="U56" s="7" t="str">
        <x:v>Align title, evidence, internal links and RFQ CTA with this search intent.</x:v>
      </x:c>
    </x:row>
    <x:row r="57" ht="19" customHeight="1">
      <x:c r="A57" s="7" t="str">
        <x:v>linde hydraulic pump</x:v>
      </x:c>
      <x:c r="B57" s="8" t="n">
        <x:v>40</x:v>
      </x:c>
      <x:c r="C57" s="9" t="n">
        <x:v>1.86</x:v>
      </x:c>
      <x:c r="D57" s="10" t="n">
        <x:v>0.76</x:v>
      </x:c>
      <x:c r="E57" s="8" t="n">
        <x:v>20</x:v>
      </x:c>
      <x:c r="F57" s="11" t="n">
        <x:v>-0.52</x:v>
      </x:c>
      <x:c r="G57" s="7" t="str">
        <x:v>Product research</x:v>
      </x:c>
      <x:c r="H57" s="7" t="str">
        <x:v>Hydraulic Pumps</x:v>
      </x:c>
      <x:c r="I57" s="7" t="n">
        <x:v>5</x:v>
      </x:c>
      <x:c r="J57" s="7" t="str">
        <x:v>/products/hydraulic-pumps/</x:v>
      </x:c>
      <x:c r="K57" s="7" t="str">
        <x:v>Covered</x:v>
      </x:c>
      <x:c r="L57" s="7" t="str">
        <x:v>Optimize existing page</x:v>
      </x:c>
      <x:c r="M57" s="7" t="str">
        <x:v>Product / category</x:v>
      </x:c>
      <x:c r="N57" s="7" t="n">
        <x:v>4</x:v>
      </x:c>
      <x:c r="O57" s="7" t="n">
        <x:f>IF(B57&gt;=1000,5,IF(B57&gt;=300,4,IF(B57&gt;=100,3,IF(B57&gt;=30,2,IF(B57&gt;=10,1,0)))))</x:f>
        <x:v>2</x:v>
      </x:c>
      <x:c r="P57" s="7" t="n">
        <x:f>IF(C57&gt;=5,4,IF(C57&gt;=2,3,IF(C57&gt;=1,2,IF(C57&gt;0,1,0))))</x:f>
        <x:v>2</x:v>
      </x:c>
      <x:c r="Q57" s="7" t="n">
        <x:f>N57*2+O57+P57+IF(F57&gt;=0.2,1,0)+IF(K57="Gap",2,0)-IF(I57&lt;=2,5,0)</x:f>
        <x:v>12</x:v>
      </x:c>
      <x:c r="R57" s="7" t="str">
        <x:f>IF(I57&lt;=2,"D",IF(Q57&gt;=15,"A",IF(Q57&gt;=11,"B",IF(Q57&gt;=7,"C","D"))))</x:f>
        <x:v>B</x:v>
      </x:c>
      <x:c r="S57" s="12" t="n">
        <x:f>B57*'Dashboard'!$B$11</x:f>
        <x:v>4</x:v>
      </x:c>
      <x:c r="T57" s="10" t="n">
        <x:f>S57*'Dashboard'!$D$11</x:f>
        <x:v>0.08</x:v>
      </x:c>
      <x:c r="U57" s="7" t="str">
        <x:v>Align title, evidence, internal links and RFQ CTA with this search intent.</x:v>
      </x:c>
    </x:row>
    <x:row r="58" ht="19" customHeight="1">
      <x:c r="A58" s="7" t="str">
        <x:v>nachi hydraulic pump</x:v>
      </x:c>
      <x:c r="B58" s="8" t="n">
        <x:v>40</x:v>
      </x:c>
      <x:c r="C58" s="9" t="n">
        <x:v>1.39</x:v>
      </x:c>
      <x:c r="D58" s="10" t="n">
        <x:v>1</x:v>
      </x:c>
      <x:c r="E58" s="8" t="n">
        <x:v>40</x:v>
      </x:c>
      <x:c r="F58" s="11" t="n">
        <x:v>0.09090909090909098</x:v>
      </x:c>
      <x:c r="G58" s="7" t="str">
        <x:v>Product research</x:v>
      </x:c>
      <x:c r="H58" s="7" t="str">
        <x:v>Hydraulic Pumps</x:v>
      </x:c>
      <x:c r="I58" s="7" t="n">
        <x:v>5</x:v>
      </x:c>
      <x:c r="J58" s="7" t="str">
        <x:v>/products/hydraulic-pumps/</x:v>
      </x:c>
      <x:c r="K58" s="7" t="str">
        <x:v>Covered</x:v>
      </x:c>
      <x:c r="L58" s="7" t="str">
        <x:v>Optimize existing page</x:v>
      </x:c>
      <x:c r="M58" s="7" t="str">
        <x:v>Product / category</x:v>
      </x:c>
      <x:c r="N58" s="7" t="n">
        <x:v>4</x:v>
      </x:c>
      <x:c r="O58" s="7" t="n">
        <x:f>IF(B58&gt;=1000,5,IF(B58&gt;=300,4,IF(B58&gt;=100,3,IF(B58&gt;=30,2,IF(B58&gt;=10,1,0)))))</x:f>
        <x:v>2</x:v>
      </x:c>
      <x:c r="P58" s="7" t="n">
        <x:f>IF(C58&gt;=5,4,IF(C58&gt;=2,3,IF(C58&gt;=1,2,IF(C58&gt;0,1,0))))</x:f>
        <x:v>2</x:v>
      </x:c>
      <x:c r="Q58" s="7" t="n">
        <x:f>N58*2+O58+P58+IF(F58&gt;=0.2,1,0)+IF(K58="Gap",2,0)-IF(I58&lt;=2,5,0)</x:f>
        <x:v>12</x:v>
      </x:c>
      <x:c r="R58" s="7" t="str">
        <x:f>IF(I58&lt;=2,"D",IF(Q58&gt;=15,"A",IF(Q58&gt;=11,"B",IF(Q58&gt;=7,"C","D"))))</x:f>
        <x:v>B</x:v>
      </x:c>
      <x:c r="S58" s="12" t="n">
        <x:f>B58*'Dashboard'!$B$11</x:f>
        <x:v>4</x:v>
      </x:c>
      <x:c r="T58" s="10" t="n">
        <x:f>S58*'Dashboard'!$D$11</x:f>
        <x:v>0.08</x:v>
      </x:c>
      <x:c r="U58" s="7" t="str">
        <x:v>Align title, evidence, internal links and RFQ CTA with this search intent.</x:v>
      </x:c>
    </x:row>
    <x:row r="59" ht="19" customHeight="1">
      <x:c r="A59" s="7" t="str">
        <x:v>a10vso</x:v>
      </x:c>
      <x:c r="B59" s="8" t="n">
        <x:v>30</x:v>
      </x:c>
      <x:c r="C59" s="9" t="n">
        <x:v>0</x:v>
      </x:c>
      <x:c r="D59" s="10" t="n">
        <x:v>0.68</x:v>
      </x:c>
      <x:c r="E59" s="8" t="n">
        <x:v>20</x:v>
      </x:c>
      <x:c r="F59" s="11" t="n">
        <x:v>-0.368421052631579</x:v>
      </x:c>
      <x:c r="G59" s="7" t="str">
        <x:v>Product research</x:v>
      </x:c>
      <x:c r="H59" s="7" t="str">
        <x:v>Hydraulic Pumps</x:v>
      </x:c>
      <x:c r="I59" s="7" t="n">
        <x:v>5</x:v>
      </x:c>
      <x:c r="J59" s="7" t="str">
        <x:v>/models/bosch-rexroth-a10vso18-drg-31r-vpa12n00/</x:v>
      </x:c>
      <x:c r="K59" s="7" t="str">
        <x:v>Covered</x:v>
      </x:c>
      <x:c r="L59" s="7" t="str">
        <x:v>Optimize existing page</x:v>
      </x:c>
      <x:c r="M59" s="7" t="str">
        <x:v>Model record</x:v>
      </x:c>
      <x:c r="N59" s="7" t="n">
        <x:v>5</x:v>
      </x:c>
      <x:c r="O59" s="7" t="n">
        <x:f>IF(B59&gt;=1000,5,IF(B59&gt;=300,4,IF(B59&gt;=100,3,IF(B59&gt;=30,2,IF(B59&gt;=10,1,0)))))</x:f>
        <x:v>2</x:v>
      </x:c>
      <x:c r="P59" s="7" t="n">
        <x:f>IF(C59&gt;=5,4,IF(C59&gt;=2,3,IF(C59&gt;=1,2,IF(C59&gt;0,1,0))))</x:f>
        <x:v>0</x:v>
      </x:c>
      <x:c r="Q59" s="7" t="n">
        <x:f>N59*2+O59+P59+IF(F59&gt;=0.2,1,0)+IF(K59="Gap",2,0)-IF(I59&lt;=2,5,0)</x:f>
        <x:v>12</x:v>
      </x:c>
      <x:c r="R59" s="7" t="str">
        <x:f>IF(I59&lt;=2,"D",IF(Q59&gt;=15,"A",IF(Q59&gt;=11,"B",IF(Q59&gt;=7,"C","D"))))</x:f>
        <x:v>B</x:v>
      </x:c>
      <x:c r="S59" s="12" t="n">
        <x:f>B59*'Dashboard'!$B$11</x:f>
        <x:v>3</x:v>
      </x:c>
      <x:c r="T59" s="10" t="n">
        <x:f>S59*'Dashboard'!$D$11</x:f>
        <x:v>0.06</x:v>
      </x:c>
      <x:c r="U59" s="7" t="str">
        <x:v>Align title, evidence, internal links and RFQ CTA with this search intent.</x:v>
      </x:c>
    </x:row>
    <x:row r="60" ht="19" customHeight="1">
      <x:c r="A60" s="7" t="str">
        <x:v>nachi hydraulic valve</x:v>
      </x:c>
      <x:c r="B60" s="8" t="n">
        <x:v>30</x:v>
      </x:c>
      <x:c r="C60" s="9" t="n">
        <x:v>1.57</x:v>
      </x:c>
      <x:c r="D60" s="10" t="n">
        <x:v>0.82</x:v>
      </x:c>
      <x:c r="E60" s="8" t="n">
        <x:v>20</x:v>
      </x:c>
      <x:c r="F60" s="11" t="n">
        <x:v>-0.4</x:v>
      </x:c>
      <x:c r="G60" s="7" t="str">
        <x:v>Product research</x:v>
      </x:c>
      <x:c r="H60" s="7" t="str">
        <x:v>Hydraulic Valves</x:v>
      </x:c>
      <x:c r="I60" s="7" t="n">
        <x:v>5</x:v>
      </x:c>
      <x:c r="J60" s="7" t="str">
        <x:v>/products/hydraulic-valves/</x:v>
      </x:c>
      <x:c r="K60" s="7" t="str">
        <x:v>Covered</x:v>
      </x:c>
      <x:c r="L60" s="7" t="str">
        <x:v>Optimize existing page</x:v>
      </x:c>
      <x:c r="M60" s="7" t="str">
        <x:v>Product / category</x:v>
      </x:c>
      <x:c r="N60" s="7" t="n">
        <x:v>4</x:v>
      </x:c>
      <x:c r="O60" s="7" t="n">
        <x:f>IF(B60&gt;=1000,5,IF(B60&gt;=300,4,IF(B60&gt;=100,3,IF(B60&gt;=30,2,IF(B60&gt;=10,1,0)))))</x:f>
        <x:v>2</x:v>
      </x:c>
      <x:c r="P60" s="7" t="n">
        <x:f>IF(C60&gt;=5,4,IF(C60&gt;=2,3,IF(C60&gt;=1,2,IF(C60&gt;0,1,0))))</x:f>
        <x:v>2</x:v>
      </x:c>
      <x:c r="Q60" s="7" t="n">
        <x:f>N60*2+O60+P60+IF(F60&gt;=0.2,1,0)+IF(K60="Gap",2,0)-IF(I60&lt;=2,5,0)</x:f>
        <x:v>12</x:v>
      </x:c>
      <x:c r="R60" s="7" t="str">
        <x:f>IF(I60&lt;=2,"D",IF(Q60&gt;=15,"A",IF(Q60&gt;=11,"B",IF(Q60&gt;=7,"C","D"))))</x:f>
        <x:v>B</x:v>
      </x:c>
      <x:c r="S60" s="12" t="n">
        <x:f>B60*'Dashboard'!$B$11</x:f>
        <x:v>3</x:v>
      </x:c>
      <x:c r="T60" s="10" t="n">
        <x:f>S60*'Dashboard'!$D$11</x:f>
        <x:v>0.06</x:v>
      </x:c>
      <x:c r="U60" s="7" t="str">
        <x:v>Align title, evidence, internal links and RFQ CTA with this search intent.</x:v>
      </x:c>
    </x:row>
    <x:row r="61" ht="19" customHeight="1">
      <x:c r="A61" s="7" t="str">
        <x:v>4we6</x:v>
      </x:c>
      <x:c r="B61" s="8" t="n">
        <x:v>20</x:v>
      </x:c>
      <x:c r="C61" s="9" t="n">
        <x:v>0</x:v>
      </x:c>
      <x:c r="D61" s="10" t="n">
        <x:v>0.95</x:v>
      </x:c>
      <x:c r="E61" s="8" t="n">
        <x:v>30</x:v>
      </x:c>
      <x:c r="F61" s="11" t="n">
        <x:v>0.2413793103448275</x:v>
      </x:c>
      <x:c r="G61" s="7" t="str">
        <x:v>Product research</x:v>
      </x:c>
      <x:c r="H61" s="7" t="str">
        <x:v>Hydraulic Valves</x:v>
      </x:c>
      <x:c r="I61" s="7" t="n">
        <x:v>5</x:v>
      </x:c>
      <x:c r="J61" s="7" t="str">
        <x:v>/series/4we6/</x:v>
      </x:c>
      <x:c r="K61" s="7" t="str">
        <x:v>Covered</x:v>
      </x:c>
      <x:c r="L61" s="7" t="str">
        <x:v>Optimize existing page</x:v>
      </x:c>
      <x:c r="M61" s="7" t="str">
        <x:v>Series hub</x:v>
      </x:c>
      <x:c r="N61" s="7" t="n">
        <x:v>5</x:v>
      </x:c>
      <x:c r="O61" s="7" t="n">
        <x:f>IF(B61&gt;=1000,5,IF(B61&gt;=300,4,IF(B61&gt;=100,3,IF(B61&gt;=30,2,IF(B61&gt;=10,1,0)))))</x:f>
        <x:v>1</x:v>
      </x:c>
      <x:c r="P61" s="7" t="n">
        <x:f>IF(C61&gt;=5,4,IF(C61&gt;=2,3,IF(C61&gt;=1,2,IF(C61&gt;0,1,0))))</x:f>
        <x:v>0</x:v>
      </x:c>
      <x:c r="Q61" s="7" t="n">
        <x:f>N61*2+O61+P61+IF(F61&gt;=0.2,1,0)+IF(K61="Gap",2,0)-IF(I61&lt;=2,5,0)</x:f>
        <x:v>12</x:v>
      </x:c>
      <x:c r="R61" s="7" t="str">
        <x:f>IF(I61&lt;=2,"D",IF(Q61&gt;=15,"A",IF(Q61&gt;=11,"B",IF(Q61&gt;=7,"C","D"))))</x:f>
        <x:v>B</x:v>
      </x:c>
      <x:c r="S61" s="12" t="n">
        <x:f>B61*'Dashboard'!$B$11</x:f>
        <x:v>2</x:v>
      </x:c>
      <x:c r="T61" s="10" t="n">
        <x:f>S61*'Dashboard'!$D$11</x:f>
        <x:v>0.04</x:v>
      </x:c>
      <x:c r="U61" s="7" t="str">
        <x:v>Align title, evidence, internal links and RFQ CTA with this search intent.</x:v>
      </x:c>
    </x:row>
    <x:row r="62" ht="19" customHeight="1">
      <x:c r="A62" s="7" t="str">
        <x:v>hydraulic motor price</x:v>
      </x:c>
      <x:c r="B62" s="8" t="n">
        <x:v>20</x:v>
      </x:c>
      <x:c r="C62" s="9" t="n">
        <x:v>0</x:v>
      </x:c>
      <x:c r="D62" s="10" t="n">
        <x:v>0.94</x:v>
      </x:c>
      <x:c r="E62" s="8" t="n">
        <x:v>20</x:v>
      </x:c>
      <x:c r="F62" s="11" t="n">
        <x:v>0.26315789473684204</x:v>
      </x:c>
      <x:c r="G62" s="7" t="str">
        <x:v>Transactional</x:v>
      </x:c>
      <x:c r="H62" s="7" t="str">
        <x:v>Hydraulic Motors</x:v>
      </x:c>
      <x:c r="I62" s="7" t="n">
        <x:v>5</x:v>
      </x:c>
      <x:c r="J62" s="7" t="str">
        <x:v>/products/hydraulic-motors/</x:v>
      </x:c>
      <x:c r="K62" s="7" t="str">
        <x:v>Covered</x:v>
      </x:c>
      <x:c r="L62" s="7" t="str">
        <x:v>Optimize existing page</x:v>
      </x:c>
      <x:c r="M62" s="7" t="str">
        <x:v>Product / category</x:v>
      </x:c>
      <x:c r="N62" s="7" t="n">
        <x:v>5</x:v>
      </x:c>
      <x:c r="O62" s="7" t="n">
        <x:f>IF(B62&gt;=1000,5,IF(B62&gt;=300,4,IF(B62&gt;=100,3,IF(B62&gt;=30,2,IF(B62&gt;=10,1,0)))))</x:f>
        <x:v>1</x:v>
      </x:c>
      <x:c r="P62" s="7" t="n">
        <x:f>IF(C62&gt;=5,4,IF(C62&gt;=2,3,IF(C62&gt;=1,2,IF(C62&gt;0,1,0))))</x:f>
        <x:v>0</x:v>
      </x:c>
      <x:c r="Q62" s="7" t="n">
        <x:f>N62*2+O62+P62+IF(F62&gt;=0.2,1,0)+IF(K62="Gap",2,0)-IF(I62&lt;=2,5,0)</x:f>
        <x:v>12</x:v>
      </x:c>
      <x:c r="R62" s="7" t="str">
        <x:f>IF(I62&lt;=2,"D",IF(Q62&gt;=15,"A",IF(Q62&gt;=11,"B",IF(Q62&gt;=7,"C","D"))))</x:f>
        <x:v>B</x:v>
      </x:c>
      <x:c r="S62" s="12" t="n">
        <x:f>B62*'Dashboard'!$B$11</x:f>
        <x:v>2</x:v>
      </x:c>
      <x:c r="T62" s="10" t="n">
        <x:f>S62*'Dashboard'!$D$11</x:f>
        <x:v>0.04</x:v>
      </x:c>
      <x:c r="U62" s="7" t="str">
        <x:v>Align title, evidence, internal links and RFQ CTA with this search intent.</x:v>
      </x:c>
    </x:row>
    <x:row r="63" ht="19" customHeight="1">
      <x:c r="A63" s="7" t="str">
        <x:v>eaton vickers parts</x:v>
      </x:c>
      <x:c r="B63" s="8" t="n">
        <x:v>10</x:v>
      </x:c>
      <x:c r="C63" s="9" t="n">
        <x:v>0</x:v>
      </x:c>
      <x:c r="D63" s="10" t="n">
        <x:v>0.2</x:v>
      </x:c>
      <x:c r="E63" s="8" t="n">
        <x:v>10</x:v>
      </x:c>
      <x:c r="F63" s="11" t="n">
        <x:v>0.3333333333333333</x:v>
      </x:c>
      <x:c r="G63" s="7" t="str">
        <x:v>Commercial</x:v>
      </x:c>
      <x:c r="H63" s="7" t="str">
        <x:v>Brand Coverage</x:v>
      </x:c>
      <x:c r="I63" s="7" t="n">
        <x:v>4</x:v>
      </x:c>
      <x:c r="J63" s="7" t="str">
        <x:v>/brands/eaton-vickers/</x:v>
      </x:c>
      <x:c r="K63" s="7" t="str">
        <x:v>Covered</x:v>
      </x:c>
      <x:c r="L63" s="7" t="str">
        <x:v>Optimize existing page</x:v>
      </x:c>
      <x:c r="M63" s="7" t="str">
        <x:v>Brand hub</x:v>
      </x:c>
      <x:c r="N63" s="7" t="n">
        <x:v>5</x:v>
      </x:c>
      <x:c r="O63" s="7" t="n">
        <x:f>IF(B63&gt;=1000,5,IF(B63&gt;=300,4,IF(B63&gt;=100,3,IF(B63&gt;=30,2,IF(B63&gt;=10,1,0)))))</x:f>
        <x:v>1</x:v>
      </x:c>
      <x:c r="P63" s="7" t="n">
        <x:f>IF(C63&gt;=5,4,IF(C63&gt;=2,3,IF(C63&gt;=1,2,IF(C63&gt;0,1,0))))</x:f>
        <x:v>0</x:v>
      </x:c>
      <x:c r="Q63" s="7" t="n">
        <x:f>N63*2+O63+P63+IF(F63&gt;=0.2,1,0)+IF(K63="Gap",2,0)-IF(I63&lt;=2,5,0)</x:f>
        <x:v>12</x:v>
      </x:c>
      <x:c r="R63" s="7" t="str">
        <x:f>IF(I63&lt;=2,"D",IF(Q63&gt;=15,"A",IF(Q63&gt;=11,"B",IF(Q63&gt;=7,"C","D"))))</x:f>
        <x:v>B</x:v>
      </x:c>
      <x:c r="S63" s="12" t="n">
        <x:f>B63*'Dashboard'!$B$11</x:f>
        <x:v>1</x:v>
      </x:c>
      <x:c r="T63" s="10" t="n">
        <x:f>S63*'Dashboard'!$D$11</x:f>
        <x:v>0.02</x:v>
      </x:c>
      <x:c r="U63" s="7" t="str">
        <x:v>Align title, evidence, internal links and RFQ CTA with this search intent.</x:v>
      </x:c>
    </x:row>
    <x:row r="64" ht="19" customHeight="1">
      <x:c r="A64" s="7" t="str">
        <x:v>yuken hydraulic pump</x:v>
      </x:c>
      <x:c r="B64" s="8" t="n">
        <x:v>10</x:v>
      </x:c>
      <x:c r="C64" s="9" t="n">
        <x:v>1.4</x:v>
      </x:c>
      <x:c r="D64" s="10" t="n">
        <x:v>0.67</x:v>
      </x:c>
      <x:c r="E64" s="8" t="n">
        <x:v>20</x:v>
      </x:c>
      <x:c r="F64" s="11" t="n">
        <x:v>0.49999999999999994</x:v>
      </x:c>
      <x:c r="G64" s="7" t="str">
        <x:v>Product research</x:v>
      </x:c>
      <x:c r="H64" s="7" t="str">
        <x:v>Hydraulic Pumps</x:v>
      </x:c>
      <x:c r="I64" s="7" t="n">
        <x:v>5</x:v>
      </x:c>
      <x:c r="J64" s="7" t="str">
        <x:v>/products/hydraulic-pumps/</x:v>
      </x:c>
      <x:c r="K64" s="7" t="str">
        <x:v>Covered</x:v>
      </x:c>
      <x:c r="L64" s="7" t="str">
        <x:v>Optimize existing page</x:v>
      </x:c>
      <x:c r="M64" s="7" t="str">
        <x:v>Product / category</x:v>
      </x:c>
      <x:c r="N64" s="7" t="n">
        <x:v>4</x:v>
      </x:c>
      <x:c r="O64" s="7" t="n">
        <x:f>IF(B64&gt;=1000,5,IF(B64&gt;=300,4,IF(B64&gt;=100,3,IF(B64&gt;=30,2,IF(B64&gt;=10,1,0)))))</x:f>
        <x:v>1</x:v>
      </x:c>
      <x:c r="P64" s="7" t="n">
        <x:f>IF(C64&gt;=5,4,IF(C64&gt;=2,3,IF(C64&gt;=1,2,IF(C64&gt;0,1,0))))</x:f>
        <x:v>2</x:v>
      </x:c>
      <x:c r="Q64" s="7" t="n">
        <x:f>N64*2+O64+P64+IF(F64&gt;=0.2,1,0)+IF(K64="Gap",2,0)-IF(I64&lt;=2,5,0)</x:f>
        <x:v>12</x:v>
      </x:c>
      <x:c r="R64" s="7" t="str">
        <x:f>IF(I64&lt;=2,"D",IF(Q64&gt;=15,"A",IF(Q64&gt;=11,"B",IF(Q64&gt;=7,"C","D"))))</x:f>
        <x:v>B</x:v>
      </x:c>
      <x:c r="S64" s="12" t="n">
        <x:f>B64*'Dashboard'!$B$11</x:f>
        <x:v>1</x:v>
      </x:c>
      <x:c r="T64" s="10" t="n">
        <x:f>S64*'Dashboard'!$D$11</x:f>
        <x:v>0.02</x:v>
      </x:c>
      <x:c r="U64" s="7" t="str">
        <x:v>Align title, evidence, internal links and RFQ CTA with this search intent.</x:v>
      </x:c>
    </x:row>
    <x:row r="65" ht="19" customHeight="1">
      <x:c r="A65" s="7" t="str">
        <x:v>bucher hydraulic motor</x:v>
      </x:c>
      <x:c r="B65" s="8" t="n">
        <x:v>30</x:v>
      </x:c>
      <x:c r="C65" s="9" t="n">
        <x:v>0.46</x:v>
      </x:c>
      <x:c r="D65" s="10" t="n">
        <x:v>1</x:v>
      </x:c>
      <x:c r="E65" s="8" t="n">
        <x:v>20</x:v>
      </x:c>
      <x:c r="F65" s="11" t="n">
        <x:v>-0.17241379310344832</x:v>
      </x:c>
      <x:c r="G65" s="7" t="str">
        <x:v>Product research</x:v>
      </x:c>
      <x:c r="H65" s="7" t="str">
        <x:v>Hydraulic Motors</x:v>
      </x:c>
      <x:c r="I65" s="7" t="n">
        <x:v>5</x:v>
      </x:c>
      <x:c r="J65" s="7" t="str">
        <x:v>/products/hydraulic-motors/</x:v>
      </x:c>
      <x:c r="K65" s="7" t="str">
        <x:v>Covered</x:v>
      </x:c>
      <x:c r="L65" s="7" t="str">
        <x:v>Optimize existing page</x:v>
      </x:c>
      <x:c r="M65" s="7" t="str">
        <x:v>Product / category</x:v>
      </x:c>
      <x:c r="N65" s="7" t="n">
        <x:v>4</x:v>
      </x:c>
      <x:c r="O65" s="7" t="n">
        <x:f>IF(B65&gt;=1000,5,IF(B65&gt;=300,4,IF(B65&gt;=100,3,IF(B65&gt;=30,2,IF(B65&gt;=10,1,0)))))</x:f>
        <x:v>2</x:v>
      </x:c>
      <x:c r="P65" s="7" t="n">
        <x:f>IF(C65&gt;=5,4,IF(C65&gt;=2,3,IF(C65&gt;=1,2,IF(C65&gt;0,1,0))))</x:f>
        <x:v>1</x:v>
      </x:c>
      <x:c r="Q65" s="7" t="n">
        <x:f>N65*2+O65+P65+IF(F65&gt;=0.2,1,0)+IF(K65="Gap",2,0)-IF(I65&lt;=2,5,0)</x:f>
        <x:v>11</x:v>
      </x:c>
      <x:c r="R65" s="7" t="str">
        <x:f>IF(I65&lt;=2,"D",IF(Q65&gt;=15,"A",IF(Q65&gt;=11,"B",IF(Q65&gt;=7,"C","D"))))</x:f>
        <x:v>B</x:v>
      </x:c>
      <x:c r="S65" s="12" t="n">
        <x:f>B65*'Dashboard'!$B$11</x:f>
        <x:v>3</x:v>
      </x:c>
      <x:c r="T65" s="10" t="n">
        <x:f>S65*'Dashboard'!$D$11</x:f>
        <x:v>0.06</x:v>
      </x:c>
      <x:c r="U65" s="7" t="str">
        <x:v>Align title, evidence, internal links and RFQ CTA with this search intent.</x:v>
      </x:c>
    </x:row>
    <x:row r="66" ht="19" customHeight="1">
      <x:c r="A66" s="7" t="str">
        <x:v>hydac hydraulic pump</x:v>
      </x:c>
      <x:c r="B66" s="8" t="n">
        <x:v>30</x:v>
      </x:c>
      <x:c r="C66" s="9" t="n">
        <x:v>0.67</x:v>
      </x:c>
      <x:c r="D66" s="10" t="n">
        <x:v>0.73</x:v>
      </x:c>
      <x:c r="E66" s="8" t="n">
        <x:v>30</x:v>
      </x:c>
      <x:c r="F66" s="11" t="n">
        <x:v>0.02857142857142853</x:v>
      </x:c>
      <x:c r="G66" s="7" t="str">
        <x:v>Product research</x:v>
      </x:c>
      <x:c r="H66" s="7" t="str">
        <x:v>Hydraulic Pumps</x:v>
      </x:c>
      <x:c r="I66" s="7" t="n">
        <x:v>5</x:v>
      </x:c>
      <x:c r="J66" s="7" t="str">
        <x:v>/products/hydraulic-pumps/</x:v>
      </x:c>
      <x:c r="K66" s="7" t="str">
        <x:v>Covered</x:v>
      </x:c>
      <x:c r="L66" s="7" t="str">
        <x:v>Optimize existing page</x:v>
      </x:c>
      <x:c r="M66" s="7" t="str">
        <x:v>Product / category</x:v>
      </x:c>
      <x:c r="N66" s="7" t="n">
        <x:v>4</x:v>
      </x:c>
      <x:c r="O66" s="7" t="n">
        <x:f>IF(B66&gt;=1000,5,IF(B66&gt;=300,4,IF(B66&gt;=100,3,IF(B66&gt;=30,2,IF(B66&gt;=10,1,0)))))</x:f>
        <x:v>2</x:v>
      </x:c>
      <x:c r="P66" s="7" t="n">
        <x:f>IF(C66&gt;=5,4,IF(C66&gt;=2,3,IF(C66&gt;=1,2,IF(C66&gt;0,1,0))))</x:f>
        <x:v>1</x:v>
      </x:c>
      <x:c r="Q66" s="7" t="n">
        <x:f>N66*2+O66+P66+IF(F66&gt;=0.2,1,0)+IF(K66="Gap",2,0)-IF(I66&lt;=2,5,0)</x:f>
        <x:v>11</x:v>
      </x:c>
      <x:c r="R66" s="7" t="str">
        <x:f>IF(I66&lt;=2,"D",IF(Q66&gt;=15,"A",IF(Q66&gt;=11,"B",IF(Q66&gt;=7,"C","D"))))</x:f>
        <x:v>B</x:v>
      </x:c>
      <x:c r="S66" s="12" t="n">
        <x:f>B66*'Dashboard'!$B$11</x:f>
        <x:v>3</x:v>
      </x:c>
      <x:c r="T66" s="10" t="n">
        <x:f>S66*'Dashboard'!$D$11</x:f>
        <x:v>0.06</x:v>
      </x:c>
      <x:c r="U66" s="7" t="str">
        <x:v>Align title, evidence, internal links and RFQ CTA with this search intent.</x:v>
      </x:c>
    </x:row>
    <x:row r="67" ht="19" customHeight="1">
      <x:c r="A67" s="7" t="str">
        <x:v>hawe hydraulic pump</x:v>
      </x:c>
      <x:c r="B67" s="8" t="n">
        <x:v>20</x:v>
      </x:c>
      <x:c r="C67" s="9" t="n">
        <x:v>1.37</x:v>
      </x:c>
      <x:c r="D67" s="10" t="n">
        <x:v>0.51</x:v>
      </x:c>
      <x:c r="E67" s="8" t="n">
        <x:v>20</x:v>
      </x:c>
      <x:c r="F67" s="11" t="n">
        <x:v>-0.14285714285714282</x:v>
      </x:c>
      <x:c r="G67" s="7" t="str">
        <x:v>Product research</x:v>
      </x:c>
      <x:c r="H67" s="7" t="str">
        <x:v>Hydraulic Pumps</x:v>
      </x:c>
      <x:c r="I67" s="7" t="n">
        <x:v>5</x:v>
      </x:c>
      <x:c r="J67" s="7" t="str">
        <x:v>/products/hydraulic-pumps/</x:v>
      </x:c>
      <x:c r="K67" s="7" t="str">
        <x:v>Covered</x:v>
      </x:c>
      <x:c r="L67" s="7" t="str">
        <x:v>Optimize existing page</x:v>
      </x:c>
      <x:c r="M67" s="7" t="str">
        <x:v>Product / category</x:v>
      </x:c>
      <x:c r="N67" s="7" t="n">
        <x:v>4</x:v>
      </x:c>
      <x:c r="O67" s="7" t="n">
        <x:f>IF(B67&gt;=1000,5,IF(B67&gt;=300,4,IF(B67&gt;=100,3,IF(B67&gt;=30,2,IF(B67&gt;=10,1,0)))))</x:f>
        <x:v>1</x:v>
      </x:c>
      <x:c r="P67" s="7" t="n">
        <x:f>IF(C67&gt;=5,4,IF(C67&gt;=2,3,IF(C67&gt;=1,2,IF(C67&gt;0,1,0))))</x:f>
        <x:v>2</x:v>
      </x:c>
      <x:c r="Q67" s="7" t="n">
        <x:f>N67*2+O67+P67+IF(F67&gt;=0.2,1,0)+IF(K67="Gap",2,0)-IF(I67&lt;=2,5,0)</x:f>
        <x:v>11</x:v>
      </x:c>
      <x:c r="R67" s="7" t="str">
        <x:f>IF(I67&lt;=2,"D",IF(Q67&gt;=15,"A",IF(Q67&gt;=11,"B",IF(Q67&gt;=7,"C","D"))))</x:f>
        <x:v>B</x:v>
      </x:c>
      <x:c r="S67" s="12" t="n">
        <x:f>B67*'Dashboard'!$B$11</x:f>
        <x:v>2</x:v>
      </x:c>
      <x:c r="T67" s="10" t="n">
        <x:f>S67*'Dashboard'!$D$11</x:f>
        <x:v>0.04</x:v>
      </x:c>
      <x:c r="U67" s="7" t="str">
        <x:v>Align title, evidence, internal links and RFQ CTA with this search intent.</x:v>
      </x:c>
    </x:row>
    <x:row r="68" ht="19" customHeight="1">
      <x:c r="A68" s="7" t="str">
        <x:v>hydraulic valve distributor</x:v>
      </x:c>
      <x:c r="B68" s="8" t="n">
        <x:v>20</x:v>
      </x:c>
      <x:c r="C68" s="9" t="n">
        <x:v>0</x:v>
      </x:c>
      <x:c r="D68" s="10" t="n">
        <x:v>0.89</x:v>
      </x:c>
      <x:c r="E68" s="8" t="n">
        <x:v>10</x:v>
      </x:c>
      <x:c r="F68" s="11" t="n">
        <x:v>-0.42857142857142855</x:v>
      </x:c>
      <x:c r="G68" s="7" t="str">
        <x:v>Transactional</x:v>
      </x:c>
      <x:c r="H68" s="7" t="str">
        <x:v>Hydraulic Valves</x:v>
      </x:c>
      <x:c r="I68" s="7" t="n">
        <x:v>5</x:v>
      </x:c>
      <x:c r="J68" s="7" t="str">
        <x:v>/products/hydraulic-valves/</x:v>
      </x:c>
      <x:c r="K68" s="7" t="str">
        <x:v>Covered</x:v>
      </x:c>
      <x:c r="L68" s="7" t="str">
        <x:v>Optimize existing page</x:v>
      </x:c>
      <x:c r="M68" s="7" t="str">
        <x:v>Product / category</x:v>
      </x:c>
      <x:c r="N68" s="7" t="n">
        <x:v>5</x:v>
      </x:c>
      <x:c r="O68" s="7" t="n">
        <x:f>IF(B68&gt;=1000,5,IF(B68&gt;=300,4,IF(B68&gt;=100,3,IF(B68&gt;=30,2,IF(B68&gt;=10,1,0)))))</x:f>
        <x:v>1</x:v>
      </x:c>
      <x:c r="P68" s="7" t="n">
        <x:f>IF(C68&gt;=5,4,IF(C68&gt;=2,3,IF(C68&gt;=1,2,IF(C68&gt;0,1,0))))</x:f>
        <x:v>0</x:v>
      </x:c>
      <x:c r="Q68" s="7" t="n">
        <x:f>N68*2+O68+P68+IF(F68&gt;=0.2,1,0)+IF(K68="Gap",2,0)-IF(I68&lt;=2,5,0)</x:f>
        <x:v>11</x:v>
      </x:c>
      <x:c r="R68" s="7" t="str">
        <x:f>IF(I68&lt;=2,"D",IF(Q68&gt;=15,"A",IF(Q68&gt;=11,"B",IF(Q68&gt;=7,"C","D"))))</x:f>
        <x:v>B</x:v>
      </x:c>
      <x:c r="S68" s="12" t="n">
        <x:f>B68*'Dashboard'!$B$11</x:f>
        <x:v>2</x:v>
      </x:c>
      <x:c r="T68" s="10" t="n">
        <x:f>S68*'Dashboard'!$D$11</x:f>
        <x:v>0.04</x:v>
      </x:c>
      <x:c r="U68" s="7" t="str">
        <x:v>Align title, evidence, internal links and RFQ CTA with this search intent.</x:v>
      </x:c>
    </x:row>
    <x:row r="69" ht="19" customHeight="1">
      <x:c r="A69" s="7" t="str">
        <x:v>kawasaki hydraulic motor</x:v>
      </x:c>
      <x:c r="B69" s="8" t="n">
        <x:v>20</x:v>
      </x:c>
      <x:c r="C69" s="9" t="n">
        <x:v>1.37</x:v>
      </x:c>
      <x:c r="D69" s="10" t="n">
        <x:v>0.41</x:v>
      </x:c>
      <x:c r="E69" s="8" t="n">
        <x:v>10</x:v>
      </x:c>
      <x:c r="F69" s="11" t="n">
        <x:v>-0.2941176470588235</x:v>
      </x:c>
      <x:c r="G69" s="7" t="str">
        <x:v>Product research</x:v>
      </x:c>
      <x:c r="H69" s="7" t="str">
        <x:v>Hydraulic Motors</x:v>
      </x:c>
      <x:c r="I69" s="7" t="n">
        <x:v>5</x:v>
      </x:c>
      <x:c r="J69" s="7" t="str">
        <x:v>/products/hydraulic-motors/</x:v>
      </x:c>
      <x:c r="K69" s="7" t="str">
        <x:v>Covered</x:v>
      </x:c>
      <x:c r="L69" s="7" t="str">
        <x:v>Optimize existing page</x:v>
      </x:c>
      <x:c r="M69" s="7" t="str">
        <x:v>Product / category</x:v>
      </x:c>
      <x:c r="N69" s="7" t="n">
        <x:v>4</x:v>
      </x:c>
      <x:c r="O69" s="7" t="n">
        <x:f>IF(B69&gt;=1000,5,IF(B69&gt;=300,4,IF(B69&gt;=100,3,IF(B69&gt;=30,2,IF(B69&gt;=10,1,0)))))</x:f>
        <x:v>1</x:v>
      </x:c>
      <x:c r="P69" s="7" t="n">
        <x:f>IF(C69&gt;=5,4,IF(C69&gt;=2,3,IF(C69&gt;=1,2,IF(C69&gt;0,1,0))))</x:f>
        <x:v>2</x:v>
      </x:c>
      <x:c r="Q69" s="7" t="n">
        <x:f>N69*2+O69+P69+IF(F69&gt;=0.2,1,0)+IF(K69="Gap",2,0)-IF(I69&lt;=2,5,0)</x:f>
        <x:v>11</x:v>
      </x:c>
      <x:c r="R69" s="7" t="str">
        <x:f>IF(I69&lt;=2,"D",IF(Q69&gt;=15,"A",IF(Q69&gt;=11,"B",IF(Q69&gt;=7,"C","D"))))</x:f>
        <x:v>B</x:v>
      </x:c>
      <x:c r="S69" s="12" t="n">
        <x:f>B69*'Dashboard'!$B$11</x:f>
        <x:v>2</x:v>
      </x:c>
      <x:c r="T69" s="10" t="n">
        <x:f>S69*'Dashboard'!$D$11</x:f>
        <x:v>0.04</x:v>
      </x:c>
      <x:c r="U69" s="7" t="str">
        <x:v>Align title, evidence, internal links and RFQ CTA with this search intent.</x:v>
      </x:c>
    </x:row>
    <x:row r="70" ht="19" customHeight="1">
      <x:c r="A70" s="7" t="str">
        <x:v>t6dc</x:v>
      </x:c>
      <x:c r="B70" s="8" t="n">
        <x:v>20</x:v>
      </x:c>
      <x:c r="C70" s="9" t="n">
        <x:v>0</x:v>
      </x:c>
      <x:c r="D70" s="10" t="n">
        <x:v>0.41</x:v>
      </x:c>
      <x:c r="E70" s="8" t="n">
        <x:v>20</x:v>
      </x:c>
      <x:c r="F70" s="11" t="n">
        <x:v>-0.17241379310344832</x:v>
      </x:c>
      <x:c r="G70" s="7" t="str">
        <x:v>Product research</x:v>
      </x:c>
      <x:c r="H70" s="7" t="str">
        <x:v>Hydraulic Pumps</x:v>
      </x:c>
      <x:c r="I70" s="7" t="n">
        <x:v>5</x:v>
      </x:c>
      <x:c r="J70" s="7" t="str">
        <x:v>/series/t6dc/</x:v>
      </x:c>
      <x:c r="K70" s="7" t="str">
        <x:v>Covered</x:v>
      </x:c>
      <x:c r="L70" s="7" t="str">
        <x:v>Optimize existing page</x:v>
      </x:c>
      <x:c r="M70" s="7" t="str">
        <x:v>Series hub</x:v>
      </x:c>
      <x:c r="N70" s="7" t="n">
        <x:v>5</x:v>
      </x:c>
      <x:c r="O70" s="7" t="n">
        <x:f>IF(B70&gt;=1000,5,IF(B70&gt;=300,4,IF(B70&gt;=100,3,IF(B70&gt;=30,2,IF(B70&gt;=10,1,0)))))</x:f>
        <x:v>1</x:v>
      </x:c>
      <x:c r="P70" s="7" t="n">
        <x:f>IF(C70&gt;=5,4,IF(C70&gt;=2,3,IF(C70&gt;=1,2,IF(C70&gt;0,1,0))))</x:f>
        <x:v>0</x:v>
      </x:c>
      <x:c r="Q70" s="7" t="n">
        <x:f>N70*2+O70+P70+IF(F70&gt;=0.2,1,0)+IF(K70="Gap",2,0)-IF(I70&lt;=2,5,0)</x:f>
        <x:v>11</x:v>
      </x:c>
      <x:c r="R70" s="7" t="str">
        <x:f>IF(I70&lt;=2,"D",IF(Q70&gt;=15,"A",IF(Q70&gt;=11,"B",IF(Q70&gt;=7,"C","D"))))</x:f>
        <x:v>B</x:v>
      </x:c>
      <x:c r="S70" s="12" t="n">
        <x:f>B70*'Dashboard'!$B$11</x:f>
        <x:v>2</x:v>
      </x:c>
      <x:c r="T70" s="10" t="n">
        <x:f>S70*'Dashboard'!$D$11</x:f>
        <x:v>0.04</x:v>
      </x:c>
      <x:c r="U70" s="7" t="str">
        <x:v>Align title, evidence, internal links and RFQ CTA with this search intent.</x:v>
      </x:c>
    </x:row>
    <x:row r="71" ht="19" customHeight="1">
      <x:c r="A71" s="7" t="str">
        <x:v>4we10</x:v>
      </x:c>
      <x:c r="B71" s="8" t="n">
        <x:v>10</x:v>
      </x:c>
      <x:c r="C71" s="9" t="n">
        <x:v>0</x:v>
      </x:c>
      <x:c r="D71" s="10" t="n">
        <x:v>0.11</x:v>
      </x:c>
      <x:c r="E71" s="8" t="n">
        <x:v>10</x:v>
      </x:c>
      <x:c r="F71" s="11" t="n">
        <x:v>-0.2</x:v>
      </x:c>
      <x:c r="G71" s="7" t="str">
        <x:v>Product research</x:v>
      </x:c>
      <x:c r="H71" s="7" t="str">
        <x:v>Hydraulic Valves</x:v>
      </x:c>
      <x:c r="I71" s="7" t="n">
        <x:v>5</x:v>
      </x:c>
      <x:c r="J71" s="7" t="str">
        <x:v>/models/bosch-rexroth-4we10-e5x-eg24n9k4-m/</x:v>
      </x:c>
      <x:c r="K71" s="7" t="str">
        <x:v>Covered</x:v>
      </x:c>
      <x:c r="L71" s="7" t="str">
        <x:v>Optimize existing page</x:v>
      </x:c>
      <x:c r="M71" s="7" t="str">
        <x:v>Model record</x:v>
      </x:c>
      <x:c r="N71" s="7" t="n">
        <x:v>5</x:v>
      </x:c>
      <x:c r="O71" s="7" t="n">
        <x:f>IF(B71&gt;=1000,5,IF(B71&gt;=300,4,IF(B71&gt;=100,3,IF(B71&gt;=30,2,IF(B71&gt;=10,1,0)))))</x:f>
        <x:v>1</x:v>
      </x:c>
      <x:c r="P71" s="7" t="n">
        <x:f>IF(C71&gt;=5,4,IF(C71&gt;=2,3,IF(C71&gt;=1,2,IF(C71&gt;0,1,0))))</x:f>
        <x:v>0</x:v>
      </x:c>
      <x:c r="Q71" s="7" t="n">
        <x:f>N71*2+O71+P71+IF(F71&gt;=0.2,1,0)+IF(K71="Gap",2,0)-IF(I71&lt;=2,5,0)</x:f>
        <x:v>11</x:v>
      </x:c>
      <x:c r="R71" s="7" t="str">
        <x:f>IF(I71&lt;=2,"D",IF(Q71&gt;=15,"A",IF(Q71&gt;=11,"B",IF(Q71&gt;=7,"C","D"))))</x:f>
        <x:v>B</x:v>
      </x:c>
      <x:c r="S71" s="12" t="n">
        <x:f>B71*'Dashboard'!$B$11</x:f>
        <x:v>1</x:v>
      </x:c>
      <x:c r="T71" s="10" t="n">
        <x:f>S71*'Dashboard'!$D$11</x:f>
        <x:v>0.02</x:v>
      </x:c>
      <x:c r="U71" s="7" t="str">
        <x:v>Align title, evidence, internal links and RFQ CTA with this search intent.</x:v>
      </x:c>
    </x:row>
    <x:row r="72" ht="19" customHeight="1">
      <x:c r="A72" s="7" t="str">
        <x:v>a10vo</x:v>
      </x:c>
      <x:c r="B72" s="8" t="n">
        <x:v>10</x:v>
      </x:c>
      <x:c r="C72" s="9" t="n">
        <x:v>0</x:v>
      </x:c>
      <x:c r="D72" s="10" t="n">
        <x:v>0.26</x:v>
      </x:c>
      <x:c r="E72" s="8" t="n">
        <x:v>10</x:v>
      </x:c>
      <x:c r="F72" s="11" t="n">
        <x:v>-0.07692307692307697</x:v>
      </x:c>
      <x:c r="G72" s="7" t="str">
        <x:v>Product research</x:v>
      </x:c>
      <x:c r="H72" s="7" t="str">
        <x:v>Hydraulic Pumps</x:v>
      </x:c>
      <x:c r="I72" s="7" t="n">
        <x:v>5</x:v>
      </x:c>
      <x:c r="J72" s="7" t="str">
        <x:v>/models/rexroth-a10vo28dr-31r-psc61k40/</x:v>
      </x:c>
      <x:c r="K72" s="7" t="str">
        <x:v>Covered</x:v>
      </x:c>
      <x:c r="L72" s="7" t="str">
        <x:v>Optimize existing page</x:v>
      </x:c>
      <x:c r="M72" s="7" t="str">
        <x:v>Model record</x:v>
      </x:c>
      <x:c r="N72" s="7" t="n">
        <x:v>5</x:v>
      </x:c>
      <x:c r="O72" s="7" t="n">
        <x:f>IF(B72&gt;=1000,5,IF(B72&gt;=300,4,IF(B72&gt;=100,3,IF(B72&gt;=30,2,IF(B72&gt;=10,1,0)))))</x:f>
        <x:v>1</x:v>
      </x:c>
      <x:c r="P72" s="7" t="n">
        <x:f>IF(C72&gt;=5,4,IF(C72&gt;=2,3,IF(C72&gt;=1,2,IF(C72&gt;0,1,0))))</x:f>
        <x:v>0</x:v>
      </x:c>
      <x:c r="Q72" s="7" t="n">
        <x:f>N72*2+O72+P72+IF(F72&gt;=0.2,1,0)+IF(K72="Gap",2,0)-IF(I72&lt;=2,5,0)</x:f>
        <x:v>11</x:v>
      </x:c>
      <x:c r="R72" s="7" t="str">
        <x:f>IF(I72&lt;=2,"D",IF(Q72&gt;=15,"A",IF(Q72&gt;=11,"B",IF(Q72&gt;=7,"C","D"))))</x:f>
        <x:v>B</x:v>
      </x:c>
      <x:c r="S72" s="12" t="n">
        <x:f>B72*'Dashboard'!$B$11</x:f>
        <x:v>1</x:v>
      </x:c>
      <x:c r="T72" s="10" t="n">
        <x:f>S72*'Dashboard'!$D$11</x:f>
        <x:v>0.02</x:v>
      </x:c>
      <x:c r="U72" s="7" t="str">
        <x:v>Align title, evidence, internal links and RFQ CTA with this search intent.</x:v>
      </x:c>
    </x:row>
    <x:row r="73" ht="19" customHeight="1">
      <x:c r="A73" s="7" t="str">
        <x:v>a4vg</x:v>
      </x:c>
      <x:c r="B73" s="8" t="n">
        <x:v>10</x:v>
      </x:c>
      <x:c r="C73" s="9" t="n">
        <x:v>0</x:v>
      </x:c>
      <x:c r="D73" s="10" t="n">
        <x:v>0.05</x:v>
      </x:c>
      <x:c r="E73" s="8" t="n">
        <x:v>10</x:v>
      </x:c>
      <x:c r="F73" s="11" t="n">
        <x:v>-0.25000000000000006</x:v>
      </x:c>
      <x:c r="G73" s="7" t="str">
        <x:v>Product research</x:v>
      </x:c>
      <x:c r="H73" s="7" t="str">
        <x:v>Hydraulic Pumps</x:v>
      </x:c>
      <x:c r="I73" s="7" t="n">
        <x:v>5</x:v>
      </x:c>
      <x:c r="J73" s="7" t="str">
        <x:v>/series/a4vg/</x:v>
      </x:c>
      <x:c r="K73" s="7" t="str">
        <x:v>Covered</x:v>
      </x:c>
      <x:c r="L73" s="7" t="str">
        <x:v>Optimize existing page</x:v>
      </x:c>
      <x:c r="M73" s="7" t="str">
        <x:v>Series hub</x:v>
      </x:c>
      <x:c r="N73" s="7" t="n">
        <x:v>5</x:v>
      </x:c>
      <x:c r="O73" s="7" t="n">
        <x:f>IF(B73&gt;=1000,5,IF(B73&gt;=300,4,IF(B73&gt;=100,3,IF(B73&gt;=30,2,IF(B73&gt;=10,1,0)))))</x:f>
        <x:v>1</x:v>
      </x:c>
      <x:c r="P73" s="7" t="n">
        <x:f>IF(C73&gt;=5,4,IF(C73&gt;=2,3,IF(C73&gt;=1,2,IF(C73&gt;0,1,0))))</x:f>
        <x:v>0</x:v>
      </x:c>
      <x:c r="Q73" s="7" t="n">
        <x:f>N73*2+O73+P73+IF(F73&gt;=0.2,1,0)+IF(K73="Gap",2,0)-IF(I73&lt;=2,5,0)</x:f>
        <x:v>11</x:v>
      </x:c>
      <x:c r="R73" s="7" t="str">
        <x:f>IF(I73&lt;=2,"D",IF(Q73&gt;=15,"A",IF(Q73&gt;=11,"B",IF(Q73&gt;=7,"C","D"))))</x:f>
        <x:v>B</x:v>
      </x:c>
      <x:c r="S73" s="12" t="n">
        <x:f>B73*'Dashboard'!$B$11</x:f>
        <x:v>1</x:v>
      </x:c>
      <x:c r="T73" s="10" t="n">
        <x:f>S73*'Dashboard'!$D$11</x:f>
        <x:v>0.02</x:v>
      </x:c>
      <x:c r="U73" s="7" t="str">
        <x:v>Align title, evidence, internal links and RFQ CTA with this search intent.</x:v>
      </x:c>
    </x:row>
    <x:row r="74" ht="19" customHeight="1">
      <x:c r="A74" s="7" t="str">
        <x:v>a4vso</x:v>
      </x:c>
      <x:c r="B74" s="8" t="n">
        <x:v>10</x:v>
      </x:c>
      <x:c r="C74" s="9" t="n">
        <x:v>0</x:v>
      </x:c>
      <x:c r="D74" s="10" t="n">
        <x:v>0.45</x:v>
      </x:c>
      <x:c r="E74" s="8" t="n">
        <x:v>10</x:v>
      </x:c>
      <x:c r="F74" s="11" t="n">
        <x:v>-0.3333333333333333</x:v>
      </x:c>
      <x:c r="G74" s="7" t="str">
        <x:v>Product research</x:v>
      </x:c>
      <x:c r="H74" s="7" t="str">
        <x:v>Hydraulic Pumps</x:v>
      </x:c>
      <x:c r="I74" s="7" t="n">
        <x:v>5</x:v>
      </x:c>
      <x:c r="J74" s="7" t="str">
        <x:v>/models/rexroth-a4vso71dfr-10l-pkb63n00/</x:v>
      </x:c>
      <x:c r="K74" s="7" t="str">
        <x:v>Covered</x:v>
      </x:c>
      <x:c r="L74" s="7" t="str">
        <x:v>Optimize existing page</x:v>
      </x:c>
      <x:c r="M74" s="7" t="str">
        <x:v>Model record</x:v>
      </x:c>
      <x:c r="N74" s="7" t="n">
        <x:v>5</x:v>
      </x:c>
      <x:c r="O74" s="7" t="n">
        <x:f>IF(B74&gt;=1000,5,IF(B74&gt;=300,4,IF(B74&gt;=100,3,IF(B74&gt;=30,2,IF(B74&gt;=10,1,0)))))</x:f>
        <x:v>1</x:v>
      </x:c>
      <x:c r="P74" s="7" t="n">
        <x:f>IF(C74&gt;=5,4,IF(C74&gt;=2,3,IF(C74&gt;=1,2,IF(C74&gt;0,1,0))))</x:f>
        <x:v>0</x:v>
      </x:c>
      <x:c r="Q74" s="7" t="n">
        <x:f>N74*2+O74+P74+IF(F74&gt;=0.2,1,0)+IF(K74="Gap",2,0)-IF(I74&lt;=2,5,0)</x:f>
        <x:v>11</x:v>
      </x:c>
      <x:c r="R74" s="7" t="str">
        <x:f>IF(I74&lt;=2,"D",IF(Q74&gt;=15,"A",IF(Q74&gt;=11,"B",IF(Q74&gt;=7,"C","D"))))</x:f>
        <x:v>B</x:v>
      </x:c>
      <x:c r="S74" s="12" t="n">
        <x:f>B74*'Dashboard'!$B$11</x:f>
        <x:v>1</x:v>
      </x:c>
      <x:c r="T74" s="10" t="n">
        <x:f>S74*'Dashboard'!$D$11</x:f>
        <x:v>0.02</x:v>
      </x:c>
      <x:c r="U74" s="7" t="str">
        <x:v>Align title, evidence, internal links and RFQ CTA with this search intent.</x:v>
      </x:c>
    </x:row>
    <x:row r="75" ht="19" customHeight="1">
      <x:c r="A75" s="7" t="str">
        <x:v>aa10vso</x:v>
      </x:c>
      <x:c r="B75" s="8" t="n">
        <x:v>10</x:v>
      </x:c>
      <x:c r="C75" s="9" t="n">
        <x:v>0</x:v>
      </x:c>
      <x:c r="D75" s="10" t="n">
        <x:v>0.34</x:v>
      </x:c>
      <x:c r="E75" s="8" t="n">
        <x:v>10</x:v>
      </x:c>
      <x:c r="F75" s="11" t="n">
        <x:v>-0.07692307692307697</x:v>
      </x:c>
      <x:c r="G75" s="7" t="str">
        <x:v>Product research</x:v>
      </x:c>
      <x:c r="H75" s="7" t="str">
        <x:v>Technical / Other</x:v>
      </x:c>
      <x:c r="I75" s="7" t="n">
        <x:v>5</x:v>
      </x:c>
      <x:c r="J75" s="7" t="str">
        <x:v>/models/rexroth-aa10vso71dfr1-31l-vwc61k07/</x:v>
      </x:c>
      <x:c r="K75" s="7" t="str">
        <x:v>Covered</x:v>
      </x:c>
      <x:c r="L75" s="7" t="str">
        <x:v>Optimize existing page</x:v>
      </x:c>
      <x:c r="M75" s="7" t="str">
        <x:v>Model record</x:v>
      </x:c>
      <x:c r="N75" s="7" t="n">
        <x:v>5</x:v>
      </x:c>
      <x:c r="O75" s="7" t="n">
        <x:f>IF(B75&gt;=1000,5,IF(B75&gt;=300,4,IF(B75&gt;=100,3,IF(B75&gt;=30,2,IF(B75&gt;=10,1,0)))))</x:f>
        <x:v>1</x:v>
      </x:c>
      <x:c r="P75" s="7" t="n">
        <x:f>IF(C75&gt;=5,4,IF(C75&gt;=2,3,IF(C75&gt;=1,2,IF(C75&gt;0,1,0))))</x:f>
        <x:v>0</x:v>
      </x:c>
      <x:c r="Q75" s="7" t="n">
        <x:f>N75*2+O75+P75+IF(F75&gt;=0.2,1,0)+IF(K75="Gap",2,0)-IF(I75&lt;=2,5,0)</x:f>
        <x:v>11</x:v>
      </x:c>
      <x:c r="R75" s="7" t="str">
        <x:f>IF(I75&lt;=2,"D",IF(Q75&gt;=15,"A",IF(Q75&gt;=11,"B",IF(Q75&gt;=7,"C","D"))))</x:f>
        <x:v>B</x:v>
      </x:c>
      <x:c r="S75" s="12" t="n">
        <x:f>B75*'Dashboard'!$B$11</x:f>
        <x:v>1</x:v>
      </x:c>
      <x:c r="T75" s="10" t="n">
        <x:f>S75*'Dashboard'!$D$11</x:f>
        <x:v>0.02</x:v>
      </x:c>
      <x:c r="U75" s="7" t="str">
        <x:v>Align title, evidence, internal links and RFQ CTA with this search intent.</x:v>
      </x:c>
    </x:row>
    <x:row r="76" ht="19" customHeight="1">
      <x:c r="A76" s="7" t="str">
        <x:v>axial piston pump supplier</x:v>
      </x:c>
      <x:c r="B76" s="8" t="n">
        <x:v>10</x:v>
      </x:c>
      <x:c r="C76" s="9" t="n">
        <x:v>0</x:v>
      </x:c>
      <x:c r="D76" s="10" t="n">
        <x:v>0</x:v>
      </x:c>
      <x:c r="E76" s="8" t="n">
        <x:v>10</x:v>
      </x:c>
      <x:c r="F76" s="11" t="n">
        <x:v>0.09090909090909098</x:v>
      </x:c>
      <x:c r="G76" s="7" t="str">
        <x:v>Transactional</x:v>
      </x:c>
      <x:c r="H76" s="7" t="str">
        <x:v>Hydraulic Pumps</x:v>
      </x:c>
      <x:c r="I76" s="7" t="n">
        <x:v>5</x:v>
      </x:c>
      <x:c r="J76" s="7" t="str">
        <x:v>/products/hydraulic-pumps/axial-piston-pumps/</x:v>
      </x:c>
      <x:c r="K76" s="7" t="str">
        <x:v>Covered</x:v>
      </x:c>
      <x:c r="L76" s="7" t="str">
        <x:v>Optimize existing page</x:v>
      </x:c>
      <x:c r="M76" s="7" t="str">
        <x:v>Product / category</x:v>
      </x:c>
      <x:c r="N76" s="7" t="n">
        <x:v>5</x:v>
      </x:c>
      <x:c r="O76" s="7" t="n">
        <x:f>IF(B76&gt;=1000,5,IF(B76&gt;=300,4,IF(B76&gt;=100,3,IF(B76&gt;=30,2,IF(B76&gt;=10,1,0)))))</x:f>
        <x:v>1</x:v>
      </x:c>
      <x:c r="P76" s="7" t="n">
        <x:f>IF(C76&gt;=5,4,IF(C76&gt;=2,3,IF(C76&gt;=1,2,IF(C76&gt;0,1,0))))</x:f>
        <x:v>0</x:v>
      </x:c>
      <x:c r="Q76" s="7" t="n">
        <x:f>N76*2+O76+P76+IF(F76&gt;=0.2,1,0)+IF(K76="Gap",2,0)-IF(I76&lt;=2,5,0)</x:f>
        <x:v>11</x:v>
      </x:c>
      <x:c r="R76" s="7" t="str">
        <x:f>IF(I76&lt;=2,"D",IF(Q76&gt;=15,"A",IF(Q76&gt;=11,"B",IF(Q76&gt;=7,"C","D"))))</x:f>
        <x:v>B</x:v>
      </x:c>
      <x:c r="S76" s="12" t="n">
        <x:f>B76*'Dashboard'!$B$11</x:f>
        <x:v>1</x:v>
      </x:c>
      <x:c r="T76" s="10" t="n">
        <x:f>S76*'Dashboard'!$D$11</x:f>
        <x:v>0.02</x:v>
      </x:c>
      <x:c r="U76" s="7" t="str">
        <x:v>Align title, evidence, internal links and RFQ CTA with this search intent.</x:v>
      </x:c>
    </x:row>
    <x:row r="77" ht="19" customHeight="1">
      <x:c r="A77" s="7" t="str">
        <x:v>dg4v-3-6c-m-u-h7-60</x:v>
      </x:c>
      <x:c r="B77" s="8" t="n">
        <x:v>10</x:v>
      </x:c>
      <x:c r="C77" s="9" t="n">
        <x:v>0</x:v>
      </x:c>
      <x:c r="D77" s="10" t="n">
        <x:v>0</x:v>
      </x:c>
      <x:c r="E77" s="8" t="n">
        <x:v>0</x:v>
      </x:c>
      <x:c r="F77" s="11" t="n">
        <x:v>-1</x:v>
      </x:c>
      <x:c r="G77" s="7" t="str">
        <x:v>Product research</x:v>
      </x:c>
      <x:c r="H77" s="7" t="str">
        <x:v>Hydraulic Valves</x:v>
      </x:c>
      <x:c r="I77" s="7" t="n">
        <x:v>5</x:v>
      </x:c>
      <x:c r="J77" s="7" t="str">
        <x:v>/models/eaton-vickers-dg4v-3-6c-m-u-h7-60/</x:v>
      </x:c>
      <x:c r="K77" s="7" t="str">
        <x:v>Covered</x:v>
      </x:c>
      <x:c r="L77" s="7" t="str">
        <x:v>Optimize existing page</x:v>
      </x:c>
      <x:c r="M77" s="7" t="str">
        <x:v>Model record</x:v>
      </x:c>
      <x:c r="N77" s="7" t="n">
        <x:v>5</x:v>
      </x:c>
      <x:c r="O77" s="7" t="n">
        <x:f>IF(B77&gt;=1000,5,IF(B77&gt;=300,4,IF(B77&gt;=100,3,IF(B77&gt;=30,2,IF(B77&gt;=10,1,0)))))</x:f>
        <x:v>1</x:v>
      </x:c>
      <x:c r="P77" s="7" t="n">
        <x:f>IF(C77&gt;=5,4,IF(C77&gt;=2,3,IF(C77&gt;=1,2,IF(C77&gt;0,1,0))))</x:f>
        <x:v>0</x:v>
      </x:c>
      <x:c r="Q77" s="7" t="n">
        <x:f>N77*2+O77+P77+IF(F77&gt;=0.2,1,0)+IF(K77="Gap",2,0)-IF(I77&lt;=2,5,0)</x:f>
        <x:v>11</x:v>
      </x:c>
      <x:c r="R77" s="7" t="str">
        <x:f>IF(I77&lt;=2,"D",IF(Q77&gt;=15,"A",IF(Q77&gt;=11,"B",IF(Q77&gt;=7,"C","D"))))</x:f>
        <x:v>B</x:v>
      </x:c>
      <x:c r="S77" s="12" t="n">
        <x:f>B77*'Dashboard'!$B$11</x:f>
        <x:v>1</x:v>
      </x:c>
      <x:c r="T77" s="10" t="n">
        <x:f>S77*'Dashboard'!$D$11</x:f>
        <x:v>0.02</x:v>
      </x:c>
      <x:c r="U77" s="7" t="str">
        <x:v>Align title, evidence, internal links and RFQ CTA with this search intent.</x:v>
      </x:c>
    </x:row>
    <x:row r="78" ht="19" customHeight="1">
      <x:c r="A78" s="7" t="str">
        <x:v>directional control valve manufacturer</x:v>
      </x:c>
      <x:c r="B78" s="8" t="n">
        <x:v>10</x:v>
      </x:c>
      <x:c r="C78" s="9" t="n">
        <x:v>0</x:v>
      </x:c>
      <x:c r="D78" s="10" t="n">
        <x:v>0.29</x:v>
      </x:c>
      <x:c r="E78" s="8" t="n">
        <x:v>10</x:v>
      </x:c>
      <x:c r="F78" s="11" t="n">
        <x:v>-0.3333333333333333</x:v>
      </x:c>
      <x:c r="G78" s="7" t="str">
        <x:v>Transactional</x:v>
      </x:c>
      <x:c r="H78" s="7" t="str">
        <x:v>Hydraulic Valves</x:v>
      </x:c>
      <x:c r="I78" s="7" t="n">
        <x:v>5</x:v>
      </x:c>
      <x:c r="J78" s="7" t="str">
        <x:v>/products/hydraulic-valves/solenoid-directional-valves/</x:v>
      </x:c>
      <x:c r="K78" s="7" t="str">
        <x:v>Covered</x:v>
      </x:c>
      <x:c r="L78" s="7" t="str">
        <x:v>Optimize existing page</x:v>
      </x:c>
      <x:c r="M78" s="7" t="str">
        <x:v>Product / category</x:v>
      </x:c>
      <x:c r="N78" s="7" t="n">
        <x:v>5</x:v>
      </x:c>
      <x:c r="O78" s="7" t="n">
        <x:f>IF(B78&gt;=1000,5,IF(B78&gt;=300,4,IF(B78&gt;=100,3,IF(B78&gt;=30,2,IF(B78&gt;=10,1,0)))))</x:f>
        <x:v>1</x:v>
      </x:c>
      <x:c r="P78" s="7" t="n">
        <x:f>IF(C78&gt;=5,4,IF(C78&gt;=2,3,IF(C78&gt;=1,2,IF(C78&gt;0,1,0))))</x:f>
        <x:v>0</x:v>
      </x:c>
      <x:c r="Q78" s="7" t="n">
        <x:f>N78*2+O78+P78+IF(F78&gt;=0.2,1,0)+IF(K78="Gap",2,0)-IF(I78&lt;=2,5,0)</x:f>
        <x:v>11</x:v>
      </x:c>
      <x:c r="R78" s="7" t="str">
        <x:f>IF(I78&lt;=2,"D",IF(Q78&gt;=15,"A",IF(Q78&gt;=11,"B",IF(Q78&gt;=7,"C","D"))))</x:f>
        <x:v>B</x:v>
      </x:c>
      <x:c r="S78" s="12" t="n">
        <x:f>B78*'Dashboard'!$B$11</x:f>
        <x:v>1</x:v>
      </x:c>
      <x:c r="T78" s="10" t="n">
        <x:f>S78*'Dashboard'!$D$11</x:f>
        <x:v>0.02</x:v>
      </x:c>
      <x:c r="U78" s="7" t="str">
        <x:v>Align title, evidence, internal links and RFQ CTA with this search intent.</x:v>
      </x:c>
    </x:row>
    <x:row r="79" ht="19" customHeight="1">
      <x:c r="A79" s="7" t="str">
        <x:v>directional control valve supplier</x:v>
      </x:c>
      <x:c r="B79" s="8" t="n">
        <x:v>10</x:v>
      </x:c>
      <x:c r="C79" s="9" t="n">
        <x:v>0</x:v>
      </x:c>
      <x:c r="D79" s="10" t="n">
        <x:v>0.29</x:v>
      </x:c>
      <x:c r="E79" s="8" t="n">
        <x:v>10</x:v>
      </x:c>
      <x:c r="F79" s="11" t="n">
        <x:v>-0.3333333333333333</x:v>
      </x:c>
      <x:c r="G79" s="7" t="str">
        <x:v>Transactional</x:v>
      </x:c>
      <x:c r="H79" s="7" t="str">
        <x:v>Hydraulic Valves</x:v>
      </x:c>
      <x:c r="I79" s="7" t="n">
        <x:v>5</x:v>
      </x:c>
      <x:c r="J79" s="7" t="str">
        <x:v>/products/hydraulic-valves/solenoid-directional-valves/</x:v>
      </x:c>
      <x:c r="K79" s="7" t="str">
        <x:v>Covered</x:v>
      </x:c>
      <x:c r="L79" s="7" t="str">
        <x:v>Optimize existing page</x:v>
      </x:c>
      <x:c r="M79" s="7" t="str">
        <x:v>Product / category</x:v>
      </x:c>
      <x:c r="N79" s="7" t="n">
        <x:v>5</x:v>
      </x:c>
      <x:c r="O79" s="7" t="n">
        <x:f>IF(B79&gt;=1000,5,IF(B79&gt;=300,4,IF(B79&gt;=100,3,IF(B79&gt;=30,2,IF(B79&gt;=10,1,0)))))</x:f>
        <x:v>1</x:v>
      </x:c>
      <x:c r="P79" s="7" t="n">
        <x:f>IF(C79&gt;=5,4,IF(C79&gt;=2,3,IF(C79&gt;=1,2,IF(C79&gt;0,1,0))))</x:f>
        <x:v>0</x:v>
      </x:c>
      <x:c r="Q79" s="7" t="n">
        <x:f>N79*2+O79+P79+IF(F79&gt;=0.2,1,0)+IF(K79="Gap",2,0)-IF(I79&lt;=2,5,0)</x:f>
        <x:v>11</x:v>
      </x:c>
      <x:c r="R79" s="7" t="str">
        <x:f>IF(I79&lt;=2,"D",IF(Q79&gt;=15,"A",IF(Q79&gt;=11,"B",IF(Q79&gt;=7,"C","D"))))</x:f>
        <x:v>B</x:v>
      </x:c>
      <x:c r="S79" s="12" t="n">
        <x:f>B79*'Dashboard'!$B$11</x:f>
        <x:v>1</x:v>
      </x:c>
      <x:c r="T79" s="10" t="n">
        <x:f>S79*'Dashboard'!$D$11</x:f>
        <x:v>0.02</x:v>
      </x:c>
      <x:c r="U79" s="7" t="str">
        <x:v>Align title, evidence, internal links and RFQ CTA with this search intent.</x:v>
      </x:c>
    </x:row>
    <x:row r="80" ht="19" customHeight="1">
      <x:c r="A80" s="7" t="str">
        <x:v>hydraulic motor cross reference</x:v>
      </x:c>
      <x:c r="B80" s="8" t="n">
        <x:v>10</x:v>
      </x:c>
      <x:c r="C80" s="9" t="n">
        <x:v>0</x:v>
      </x:c>
      <x:c r="D80" s="10" t="n">
        <x:v>0.4</x:v>
      </x:c>
      <x:c r="E80" s="8" t="n">
        <x:v>10</x:v>
      </x:c>
      <x:c r="F80" s="11" t="n">
        <x:v>-0.2</x:v>
      </x:c>
      <x:c r="G80" s="7" t="str">
        <x:v>Commercial</x:v>
      </x:c>
      <x:c r="H80" s="7" t="str">
        <x:v>Replacement &amp; Cross-reference</x:v>
      </x:c>
      <x:c r="I80" s="7" t="n">
        <x:v>5</x:v>
      </x:c>
      <x:c r="J80" s="7" t="str">
        <x:v>/cross-reference/</x:v>
      </x:c>
      <x:c r="K80" s="7" t="str">
        <x:v>Covered</x:v>
      </x:c>
      <x:c r="L80" s="7" t="str">
        <x:v>Optimize existing page</x:v>
      </x:c>
      <x:c r="M80" s="7" t="str">
        <x:v>Alternative / cross-reference</x:v>
      </x:c>
      <x:c r="N80" s="7" t="n">
        <x:v>5</x:v>
      </x:c>
      <x:c r="O80" s="7" t="n">
        <x:f>IF(B80&gt;=1000,5,IF(B80&gt;=300,4,IF(B80&gt;=100,3,IF(B80&gt;=30,2,IF(B80&gt;=10,1,0)))))</x:f>
        <x:v>1</x:v>
      </x:c>
      <x:c r="P80" s="7" t="n">
        <x:f>IF(C80&gt;=5,4,IF(C80&gt;=2,3,IF(C80&gt;=1,2,IF(C80&gt;0,1,0))))</x:f>
        <x:v>0</x:v>
      </x:c>
      <x:c r="Q80" s="7" t="n">
        <x:f>N80*2+O80+P80+IF(F80&gt;=0.2,1,0)+IF(K80="Gap",2,0)-IF(I80&lt;=2,5,0)</x:f>
        <x:v>11</x:v>
      </x:c>
      <x:c r="R80" s="7" t="str">
        <x:f>IF(I80&lt;=2,"D",IF(Q80&gt;=15,"A",IF(Q80&gt;=11,"B",IF(Q80&gt;=7,"C","D"))))</x:f>
        <x:v>B</x:v>
      </x:c>
      <x:c r="S80" s="12" t="n">
        <x:f>B80*'Dashboard'!$B$11</x:f>
        <x:v>1</x:v>
      </x:c>
      <x:c r="T80" s="10" t="n">
        <x:f>S80*'Dashboard'!$D$11</x:f>
        <x:v>0.02</x:v>
      </x:c>
      <x:c r="U80" s="7" t="str">
        <x:v>Align title, evidence, internal links and RFQ CTA with this search intent.</x:v>
      </x:c>
    </x:row>
    <x:row r="81" ht="19" customHeight="1">
      <x:c r="A81" s="7" t="str">
        <x:v>hydraulic piston pump manufacturer</x:v>
      </x:c>
      <x:c r="B81" s="8" t="n">
        <x:v>10</x:v>
      </x:c>
      <x:c r="C81" s="9" t="n">
        <x:v>0</x:v>
      </x:c>
      <x:c r="D81" s="10" t="n">
        <x:v>0.52</x:v>
      </x:c>
      <x:c r="E81" s="8" t="n">
        <x:v>10</x:v>
      </x:c>
      <x:c r="F81" s="11" t="n">
        <x:v>0.19999999999999993</x:v>
      </x:c>
      <x:c r="G81" s="7" t="str">
        <x:v>Transactional</x:v>
      </x:c>
      <x:c r="H81" s="7" t="str">
        <x:v>Hydraulic Pumps</x:v>
      </x:c>
      <x:c r="I81" s="7" t="n">
        <x:v>5</x:v>
      </x:c>
      <x:c r="J81" s="7" t="str">
        <x:v>/products/hydraulic-pumps/axial-piston-pumps/</x:v>
      </x:c>
      <x:c r="K81" s="7" t="str">
        <x:v>Covered</x:v>
      </x:c>
      <x:c r="L81" s="7" t="str">
        <x:v>Optimize existing page</x:v>
      </x:c>
      <x:c r="M81" s="7" t="str">
        <x:v>Product / category</x:v>
      </x:c>
      <x:c r="N81" s="7" t="n">
        <x:v>5</x:v>
      </x:c>
      <x:c r="O81" s="7" t="n">
        <x:f>IF(B81&gt;=1000,5,IF(B81&gt;=300,4,IF(B81&gt;=100,3,IF(B81&gt;=30,2,IF(B81&gt;=10,1,0)))))</x:f>
        <x:v>1</x:v>
      </x:c>
      <x:c r="P81" s="7" t="n">
        <x:f>IF(C81&gt;=5,4,IF(C81&gt;=2,3,IF(C81&gt;=1,2,IF(C81&gt;0,1,0))))</x:f>
        <x:v>0</x:v>
      </x:c>
      <x:c r="Q81" s="7" t="n">
        <x:f>N81*2+O81+P81+IF(F81&gt;=0.2,1,0)+IF(K81="Gap",2,0)-IF(I81&lt;=2,5,0)</x:f>
        <x:v>12</x:v>
      </x:c>
      <x:c r="R81" s="7" t="str">
        <x:f>IF(I81&lt;=2,"D",IF(Q81&gt;=15,"A",IF(Q81&gt;=11,"B",IF(Q81&gt;=7,"C","D"))))</x:f>
        <x:v>B</x:v>
      </x:c>
      <x:c r="S81" s="12" t="n">
        <x:f>B81*'Dashboard'!$B$11</x:f>
        <x:v>1</x:v>
      </x:c>
      <x:c r="T81" s="10" t="n">
        <x:f>S81*'Dashboard'!$D$11</x:f>
        <x:v>0.02</x:v>
      </x:c>
      <x:c r="U81" s="7" t="str">
        <x:v>Align title, evidence, internal links and RFQ CTA with this search intent.</x:v>
      </x:c>
    </x:row>
    <x:row r="82" ht="19" customHeight="1">
      <x:c r="A82" s="7" t="str">
        <x:v>hydraulic piston pump supplier</x:v>
      </x:c>
      <x:c r="B82" s="8" t="n">
        <x:v>10</x:v>
      </x:c>
      <x:c r="C82" s="9" t="n">
        <x:v>0</x:v>
      </x:c>
      <x:c r="D82" s="10" t="n">
        <x:v>0.52</x:v>
      </x:c>
      <x:c r="E82" s="8" t="n">
        <x:v>10</x:v>
      </x:c>
      <x:c r="F82" s="11" t="n">
        <x:v>0.19999999999999993</x:v>
      </x:c>
      <x:c r="G82" s="7" t="str">
        <x:v>Transactional</x:v>
      </x:c>
      <x:c r="H82" s="7" t="str">
        <x:v>Hydraulic Pumps</x:v>
      </x:c>
      <x:c r="I82" s="7" t="n">
        <x:v>5</x:v>
      </x:c>
      <x:c r="J82" s="7" t="str">
        <x:v>/products/hydraulic-pumps/axial-piston-pumps/</x:v>
      </x:c>
      <x:c r="K82" s="7" t="str">
        <x:v>Covered</x:v>
      </x:c>
      <x:c r="L82" s="7" t="str">
        <x:v>Optimize existing page</x:v>
      </x:c>
      <x:c r="M82" s="7" t="str">
        <x:v>Product / category</x:v>
      </x:c>
      <x:c r="N82" s="7" t="n">
        <x:v>5</x:v>
      </x:c>
      <x:c r="O82" s="7" t="n">
        <x:f>IF(B82&gt;=1000,5,IF(B82&gt;=300,4,IF(B82&gt;=100,3,IF(B82&gt;=30,2,IF(B82&gt;=10,1,0)))))</x:f>
        <x:v>1</x:v>
      </x:c>
      <x:c r="P82" s="7" t="n">
        <x:f>IF(C82&gt;=5,4,IF(C82&gt;=2,3,IF(C82&gt;=1,2,IF(C82&gt;0,1,0))))</x:f>
        <x:v>0</x:v>
      </x:c>
      <x:c r="Q82" s="7" t="n">
        <x:f>N82*2+O82+P82+IF(F82&gt;=0.2,1,0)+IF(K82="Gap",2,0)-IF(I82&lt;=2,5,0)</x:f>
        <x:v>12</x:v>
      </x:c>
      <x:c r="R82" s="7" t="str">
        <x:f>IF(I82&lt;=2,"D",IF(Q82&gt;=15,"A",IF(Q82&gt;=11,"B",IF(Q82&gt;=7,"C","D"))))</x:f>
        <x:v>B</x:v>
      </x:c>
      <x:c r="S82" s="12" t="n">
        <x:f>B82*'Dashboard'!$B$11</x:f>
        <x:v>1</x:v>
      </x:c>
      <x:c r="T82" s="10" t="n">
        <x:f>S82*'Dashboard'!$D$11</x:f>
        <x:v>0.02</x:v>
      </x:c>
      <x:c r="U82" s="7" t="str">
        <x:v>Align title, evidence, internal links and RFQ CTA with this search intent.</x:v>
      </x:c>
    </x:row>
    <x:row r="83" ht="19" customHeight="1">
      <x:c r="A83" s="7" t="str">
        <x:v>hydraulic pump parts manufacturer</x:v>
      </x:c>
      <x:c r="B83" s="8" t="n">
        <x:v>10</x:v>
      </x:c>
      <x:c r="C83" s="9" t="n">
        <x:v>0</x:v>
      </x:c>
      <x:c r="D83" s="10" t="n">
        <x:v>0.22</x:v>
      </x:c>
      <x:c r="E83" s="8" t="n">
        <x:v>10</x:v>
      </x:c>
      <x:c r="F83" s="11" t="n">
        <x:v>-0.14285714285714282</x:v>
      </x:c>
      <x:c r="G83" s="7" t="str">
        <x:v>Transactional</x:v>
      </x:c>
      <x:c r="H83" s="7" t="str">
        <x:v>Hydraulic Pumps</x:v>
      </x:c>
      <x:c r="I83" s="7" t="n">
        <x:v>5</x:v>
      </x:c>
      <x:c r="J83" s="7" t="str">
        <x:v>/products/hydraulic-pumps/</x:v>
      </x:c>
      <x:c r="K83" s="7" t="str">
        <x:v>Covered</x:v>
      </x:c>
      <x:c r="L83" s="7" t="str">
        <x:v>Optimize existing page</x:v>
      </x:c>
      <x:c r="M83" s="7" t="str">
        <x:v>Product / category</x:v>
      </x:c>
      <x:c r="N83" s="7" t="n">
        <x:v>5</x:v>
      </x:c>
      <x:c r="O83" s="7" t="n">
        <x:f>IF(B83&gt;=1000,5,IF(B83&gt;=300,4,IF(B83&gt;=100,3,IF(B83&gt;=30,2,IF(B83&gt;=10,1,0)))))</x:f>
        <x:v>1</x:v>
      </x:c>
      <x:c r="P83" s="7" t="n">
        <x:f>IF(C83&gt;=5,4,IF(C83&gt;=2,3,IF(C83&gt;=1,2,IF(C83&gt;0,1,0))))</x:f>
        <x:v>0</x:v>
      </x:c>
      <x:c r="Q83" s="7" t="n">
        <x:f>N83*2+O83+P83+IF(F83&gt;=0.2,1,0)+IF(K83="Gap",2,0)-IF(I83&lt;=2,5,0)</x:f>
        <x:v>11</x:v>
      </x:c>
      <x:c r="R83" s="7" t="str">
        <x:f>IF(I83&lt;=2,"D",IF(Q83&gt;=15,"A",IF(Q83&gt;=11,"B",IF(Q83&gt;=7,"C","D"))))</x:f>
        <x:v>B</x:v>
      </x:c>
      <x:c r="S83" s="12" t="n">
        <x:f>B83*'Dashboard'!$B$11</x:f>
        <x:v>1</x:v>
      </x:c>
      <x:c r="T83" s="10" t="n">
        <x:f>S83*'Dashboard'!$D$11</x:f>
        <x:v>0.02</x:v>
      </x:c>
      <x:c r="U83" s="7" t="str">
        <x:v>Align title, evidence, internal links and RFQ CTA with this search intent.</x:v>
      </x:c>
    </x:row>
    <x:row r="84" ht="19" customHeight="1">
      <x:c r="A84" s="7" t="str">
        <x:v>hydraulic pump parts supplier</x:v>
      </x:c>
      <x:c r="B84" s="8" t="n">
        <x:v>10</x:v>
      </x:c>
      <x:c r="C84" s="9" t="n">
        <x:v>0</x:v>
      </x:c>
      <x:c r="D84" s="10" t="n">
        <x:v>0</x:v>
      </x:c>
      <x:c r="E84" s="8" t="n">
        <x:v>10</x:v>
      </x:c>
      <x:c r="F84" s="11" t="n">
        <x:v>-0.2</x:v>
      </x:c>
      <x:c r="G84" s="7" t="str">
        <x:v>Transactional</x:v>
      </x:c>
      <x:c r="H84" s="7" t="str">
        <x:v>Hydraulic Pumps</x:v>
      </x:c>
      <x:c r="I84" s="7" t="n">
        <x:v>5</x:v>
      </x:c>
      <x:c r="J84" s="7" t="str">
        <x:v>/products/hydraulic-pumps/</x:v>
      </x:c>
      <x:c r="K84" s="7" t="str">
        <x:v>Covered</x:v>
      </x:c>
      <x:c r="L84" s="7" t="str">
        <x:v>Optimize existing page</x:v>
      </x:c>
      <x:c r="M84" s="7" t="str">
        <x:v>Product / category</x:v>
      </x:c>
      <x:c r="N84" s="7" t="n">
        <x:v>5</x:v>
      </x:c>
      <x:c r="O84" s="7" t="n">
        <x:f>IF(B84&gt;=1000,5,IF(B84&gt;=300,4,IF(B84&gt;=100,3,IF(B84&gt;=30,2,IF(B84&gt;=10,1,0)))))</x:f>
        <x:v>1</x:v>
      </x:c>
      <x:c r="P84" s="7" t="n">
        <x:f>IF(C84&gt;=5,4,IF(C84&gt;=2,3,IF(C84&gt;=1,2,IF(C84&gt;0,1,0))))</x:f>
        <x:v>0</x:v>
      </x:c>
      <x:c r="Q84" s="7" t="n">
        <x:f>N84*2+O84+P84+IF(F84&gt;=0.2,1,0)+IF(K84="Gap",2,0)-IF(I84&lt;=2,5,0)</x:f>
        <x:v>11</x:v>
      </x:c>
      <x:c r="R84" s="7" t="str">
        <x:f>IF(I84&lt;=2,"D",IF(Q84&gt;=15,"A",IF(Q84&gt;=11,"B",IF(Q84&gt;=7,"C","D"))))</x:f>
        <x:v>B</x:v>
      </x:c>
      <x:c r="S84" s="12" t="n">
        <x:f>B84*'Dashboard'!$B$11</x:f>
        <x:v>1</x:v>
      </x:c>
      <x:c r="T84" s="10" t="n">
        <x:f>S84*'Dashboard'!$D$11</x:f>
        <x:v>0.02</x:v>
      </x:c>
      <x:c r="U84" s="7" t="str">
        <x:v>Align title, evidence, internal links and RFQ CTA with this search intent.</x:v>
      </x:c>
    </x:row>
    <x:row r="85" ht="19" customHeight="1">
      <x:c r="A85" s="7" t="str">
        <x:v>hydraulic valve cross reference</x:v>
      </x:c>
      <x:c r="B85" s="8" t="n">
        <x:v>10</x:v>
      </x:c>
      <x:c r="C85" s="9" t="n">
        <x:v>0</x:v>
      </x:c>
      <x:c r="D85" s="10" t="n">
        <x:v>0.24</x:v>
      </x:c>
      <x:c r="E85" s="8" t="n">
        <x:v>10</x:v>
      </x:c>
      <x:c r="F85" s="11" t="n">
        <x:v>0</x:v>
      </x:c>
      <x:c r="G85" s="7" t="str">
        <x:v>Commercial</x:v>
      </x:c>
      <x:c r="H85" s="7" t="str">
        <x:v>Replacement &amp; Cross-reference</x:v>
      </x:c>
      <x:c r="I85" s="7" t="n">
        <x:v>5</x:v>
      </x:c>
      <x:c r="J85" s="7" t="str">
        <x:v>/cross-reference/</x:v>
      </x:c>
      <x:c r="K85" s="7" t="str">
        <x:v>Covered</x:v>
      </x:c>
      <x:c r="L85" s="7" t="str">
        <x:v>Optimize existing page</x:v>
      </x:c>
      <x:c r="M85" s="7" t="str">
        <x:v>Alternative / cross-reference</x:v>
      </x:c>
      <x:c r="N85" s="7" t="n">
        <x:v>5</x:v>
      </x:c>
      <x:c r="O85" s="7" t="n">
        <x:f>IF(B85&gt;=1000,5,IF(B85&gt;=300,4,IF(B85&gt;=100,3,IF(B85&gt;=30,2,IF(B85&gt;=10,1,0)))))</x:f>
        <x:v>1</x:v>
      </x:c>
      <x:c r="P85" s="7" t="n">
        <x:f>IF(C85&gt;=5,4,IF(C85&gt;=2,3,IF(C85&gt;=1,2,IF(C85&gt;0,1,0))))</x:f>
        <x:v>0</x:v>
      </x:c>
      <x:c r="Q85" s="7" t="n">
        <x:f>N85*2+O85+P85+IF(F85&gt;=0.2,1,0)+IF(K85="Gap",2,0)-IF(I85&lt;=2,5,0)</x:f>
        <x:v>11</x:v>
      </x:c>
      <x:c r="R85" s="7" t="str">
        <x:f>IF(I85&lt;=2,"D",IF(Q85&gt;=15,"A",IF(Q85&gt;=11,"B",IF(Q85&gt;=7,"C","D"))))</x:f>
        <x:v>B</x:v>
      </x:c>
      <x:c r="S85" s="12" t="n">
        <x:f>B85*'Dashboard'!$B$11</x:f>
        <x:v>1</x:v>
      </x:c>
      <x:c r="T85" s="10" t="n">
        <x:f>S85*'Dashboard'!$D$11</x:f>
        <x:v>0.02</x:v>
      </x:c>
      <x:c r="U85" s="7" t="str">
        <x:v>Align title, evidence, internal links and RFQ CTA with this search intent.</x:v>
      </x:c>
    </x:row>
    <x:row r="86" ht="19" customHeight="1">
      <x:c r="A86" s="7" t="str">
        <x:v>hydraulic valve price</x:v>
      </x:c>
      <x:c r="B86" s="8" t="n">
        <x:v>10</x:v>
      </x:c>
      <x:c r="C86" s="9" t="n">
        <x:v>0</x:v>
      </x:c>
      <x:c r="D86" s="10" t="n">
        <x:v>0.67</x:v>
      </x:c>
      <x:c r="E86" s="8" t="n">
        <x:v>10</x:v>
      </x:c>
      <x:c r="F86" s="11" t="n">
        <x:v>0.19999999999999993</x:v>
      </x:c>
      <x:c r="G86" s="7" t="str">
        <x:v>Transactional</x:v>
      </x:c>
      <x:c r="H86" s="7" t="str">
        <x:v>Hydraulic Valves</x:v>
      </x:c>
      <x:c r="I86" s="7" t="n">
        <x:v>5</x:v>
      </x:c>
      <x:c r="J86" s="7" t="str">
        <x:v>/products/hydraulic-valves/</x:v>
      </x:c>
      <x:c r="K86" s="7" t="str">
        <x:v>Covered</x:v>
      </x:c>
      <x:c r="L86" s="7" t="str">
        <x:v>Optimize existing page</x:v>
      </x:c>
      <x:c r="M86" s="7" t="str">
        <x:v>Product / category</x:v>
      </x:c>
      <x:c r="N86" s="7" t="n">
        <x:v>5</x:v>
      </x:c>
      <x:c r="O86" s="7" t="n">
        <x:f>IF(B86&gt;=1000,5,IF(B86&gt;=300,4,IF(B86&gt;=100,3,IF(B86&gt;=30,2,IF(B86&gt;=10,1,0)))))</x:f>
        <x:v>1</x:v>
      </x:c>
      <x:c r="P86" s="7" t="n">
        <x:f>IF(C86&gt;=5,4,IF(C86&gt;=2,3,IF(C86&gt;=1,2,IF(C86&gt;0,1,0))))</x:f>
        <x:v>0</x:v>
      </x:c>
      <x:c r="Q86" s="7" t="n">
        <x:f>N86*2+O86+P86+IF(F86&gt;=0.2,1,0)+IF(K86="Gap",2,0)-IF(I86&lt;=2,5,0)</x:f>
        <x:v>12</x:v>
      </x:c>
      <x:c r="R86" s="7" t="str">
        <x:f>IF(I86&lt;=2,"D",IF(Q86&gt;=15,"A",IF(Q86&gt;=11,"B",IF(Q86&gt;=7,"C","D"))))</x:f>
        <x:v>B</x:v>
      </x:c>
      <x:c r="S86" s="12" t="n">
        <x:f>B86*'Dashboard'!$B$11</x:f>
        <x:v>1</x:v>
      </x:c>
      <x:c r="T86" s="10" t="n">
        <x:f>S86*'Dashboard'!$D$11</x:f>
        <x:v>0.02</x:v>
      </x:c>
      <x:c r="U86" s="7" t="str">
        <x:v>Align title, evidence, internal links and RFQ CTA with this search intent.</x:v>
      </x:c>
    </x:row>
    <x:row r="87" ht="19" customHeight="1">
      <x:c r="A87" s="7" t="str">
        <x:v>m1d parts</x:v>
      </x:c>
      <x:c r="B87" s="8" t="n">
        <x:v>10</x:v>
      </x:c>
      <x:c r="C87" s="9" t="n">
        <x:v>0</x:v>
      </x:c>
      <x:c r="D87" s="10" t="n">
        <x:v>0</x:v>
      </x:c>
      <x:c r="E87" s="8" t="n">
        <x:v>0</x:v>
      </x:c>
      <x:c r="F87" s="11" t="n">
        <x:v>-1</x:v>
      </x:c>
      <x:c r="G87" s="7" t="str">
        <x:v>Commercial</x:v>
      </x:c>
      <x:c r="H87" s="7" t="str">
        <x:v>Hydraulic Motors</x:v>
      </x:c>
      <x:c r="I87" s="7" t="n">
        <x:v>5</x:v>
      </x:c>
      <x:c r="J87" s="7" t="str">
        <x:v>/series/m1d/</x:v>
      </x:c>
      <x:c r="K87" s="7" t="str">
        <x:v>Covered</x:v>
      </x:c>
      <x:c r="L87" s="7" t="str">
        <x:v>Optimize existing page</x:v>
      </x:c>
      <x:c r="M87" s="7" t="str">
        <x:v>Series hub</x:v>
      </x:c>
      <x:c r="N87" s="7" t="n">
        <x:v>5</x:v>
      </x:c>
      <x:c r="O87" s="7" t="n">
        <x:f>IF(B87&gt;=1000,5,IF(B87&gt;=300,4,IF(B87&gt;=100,3,IF(B87&gt;=30,2,IF(B87&gt;=10,1,0)))))</x:f>
        <x:v>1</x:v>
      </x:c>
      <x:c r="P87" s="7" t="n">
        <x:f>IF(C87&gt;=5,4,IF(C87&gt;=2,3,IF(C87&gt;=1,2,IF(C87&gt;0,1,0))))</x:f>
        <x:v>0</x:v>
      </x:c>
      <x:c r="Q87" s="7" t="n">
        <x:f>N87*2+O87+P87+IF(F87&gt;=0.2,1,0)+IF(K87="Gap",2,0)-IF(I87&lt;=2,5,0)</x:f>
        <x:v>11</x:v>
      </x:c>
      <x:c r="R87" s="7" t="str">
        <x:f>IF(I87&lt;=2,"D",IF(Q87&gt;=15,"A",IF(Q87&gt;=11,"B",IF(Q87&gt;=7,"C","D"))))</x:f>
        <x:v>B</x:v>
      </x:c>
      <x:c r="S87" s="12" t="n">
        <x:f>B87*'Dashboard'!$B$11</x:f>
        <x:v>1</x:v>
      </x:c>
      <x:c r="T87" s="10" t="n">
        <x:f>S87*'Dashboard'!$D$11</x:f>
        <x:v>0.02</x:v>
      </x:c>
      <x:c r="U87" s="7" t="str">
        <x:v>Align title, evidence, internal links and RFQ CTA with this search intent.</x:v>
      </x:c>
    </x:row>
    <x:row r="88" ht="19" customHeight="1">
      <x:c r="A88" s="7" t="str">
        <x:v>mcr parts</x:v>
      </x:c>
      <x:c r="B88" s="8" t="n">
        <x:v>10</x:v>
      </x:c>
      <x:c r="C88" s="9" t="n">
        <x:v>0</x:v>
      </x:c>
      <x:c r="D88" s="10" t="n">
        <x:v>0</x:v>
      </x:c>
      <x:c r="E88" s="8" t="n">
        <x:v>10</x:v>
      </x:c>
      <x:c r="F88" s="11" t="n">
        <x:v>0</x:v>
      </x:c>
      <x:c r="G88" s="7" t="str">
        <x:v>Commercial</x:v>
      </x:c>
      <x:c r="H88" s="7" t="str">
        <x:v>Hydraulic Motors</x:v>
      </x:c>
      <x:c r="I88" s="7" t="n">
        <x:v>5</x:v>
      </x:c>
      <x:c r="J88" s="7" t="str">
        <x:v>/series/mcr/</x:v>
      </x:c>
      <x:c r="K88" s="7" t="str">
        <x:v>Covered</x:v>
      </x:c>
      <x:c r="L88" s="7" t="str">
        <x:v>Optimize existing page</x:v>
      </x:c>
      <x:c r="M88" s="7" t="str">
        <x:v>Series hub</x:v>
      </x:c>
      <x:c r="N88" s="7" t="n">
        <x:v>5</x:v>
      </x:c>
      <x:c r="O88" s="7" t="n">
        <x:f>IF(B88&gt;=1000,5,IF(B88&gt;=300,4,IF(B88&gt;=100,3,IF(B88&gt;=30,2,IF(B88&gt;=10,1,0)))))</x:f>
        <x:v>1</x:v>
      </x:c>
      <x:c r="P88" s="7" t="n">
        <x:f>IF(C88&gt;=5,4,IF(C88&gt;=2,3,IF(C88&gt;=1,2,IF(C88&gt;0,1,0))))</x:f>
        <x:v>0</x:v>
      </x:c>
      <x:c r="Q88" s="7" t="n">
        <x:f>N88*2+O88+P88+IF(F88&gt;=0.2,1,0)+IF(K88="Gap",2,0)-IF(I88&lt;=2,5,0)</x:f>
        <x:v>11</x:v>
      </x:c>
      <x:c r="R88" s="7" t="str">
        <x:f>IF(I88&lt;=2,"D",IF(Q88&gt;=15,"A",IF(Q88&gt;=11,"B",IF(Q88&gt;=7,"C","D"))))</x:f>
        <x:v>B</x:v>
      </x:c>
      <x:c r="S88" s="12" t="n">
        <x:f>B88*'Dashboard'!$B$11</x:f>
        <x:v>1</x:v>
      </x:c>
      <x:c r="T88" s="10" t="n">
        <x:f>S88*'Dashboard'!$D$11</x:f>
        <x:v>0.02</x:v>
      </x:c>
      <x:c r="U88" s="7" t="str">
        <x:v>Align title, evidence, internal links and RFQ CTA with this search intent.</x:v>
      </x:c>
    </x:row>
    <x:row r="89" ht="19" customHeight="1">
      <x:c r="A89" s="7" t="str">
        <x:v>mcr03</x:v>
      </x:c>
      <x:c r="B89" s="8" t="n">
        <x:v>10</x:v>
      </x:c>
      <x:c r="C89" s="9" t="n">
        <x:v>0</x:v>
      </x:c>
      <x:c r="D89" s="10" t="n">
        <x:v>0.05</x:v>
      </x:c>
      <x:c r="E89" s="8" t="n">
        <x:v>10</x:v>
      </x:c>
      <x:c r="F89" s="11" t="n">
        <x:v>0.09090909090909098</x:v>
      </x:c>
      <x:c r="G89" s="7" t="str">
        <x:v>Product research</x:v>
      </x:c>
      <x:c r="H89" s="7" t="str">
        <x:v>Technical / Other</x:v>
      </x:c>
      <x:c r="I89" s="7" t="n">
        <x:v>5</x:v>
      </x:c>
      <x:c r="J89" s="7" t="str">
        <x:v>/models/poclain-mcr03-seal-kit/</x:v>
      </x:c>
      <x:c r="K89" s="7" t="str">
        <x:v>Covered</x:v>
      </x:c>
      <x:c r="L89" s="7" t="str">
        <x:v>Optimize existing page</x:v>
      </x:c>
      <x:c r="M89" s="7" t="str">
        <x:v>Model record</x:v>
      </x:c>
      <x:c r="N89" s="7" t="n">
        <x:v>5</x:v>
      </x:c>
      <x:c r="O89" s="7" t="n">
        <x:f>IF(B89&gt;=1000,5,IF(B89&gt;=300,4,IF(B89&gt;=100,3,IF(B89&gt;=30,2,IF(B89&gt;=10,1,0)))))</x:f>
        <x:v>1</x:v>
      </x:c>
      <x:c r="P89" s="7" t="n">
        <x:f>IF(C89&gt;=5,4,IF(C89&gt;=2,3,IF(C89&gt;=1,2,IF(C89&gt;0,1,0))))</x:f>
        <x:v>0</x:v>
      </x:c>
      <x:c r="Q89" s="7" t="n">
        <x:f>N89*2+O89+P89+IF(F89&gt;=0.2,1,0)+IF(K89="Gap",2,0)-IF(I89&lt;=2,5,0)</x:f>
        <x:v>11</x:v>
      </x:c>
      <x:c r="R89" s="7" t="str">
        <x:f>IF(I89&lt;=2,"D",IF(Q89&gt;=15,"A",IF(Q89&gt;=11,"B",IF(Q89&gt;=7,"C","D"))))</x:f>
        <x:v>B</x:v>
      </x:c>
      <x:c r="S89" s="12" t="n">
        <x:f>B89*'Dashboard'!$B$11</x:f>
        <x:v>1</x:v>
      </x:c>
      <x:c r="T89" s="10" t="n">
        <x:f>S89*'Dashboard'!$D$11</x:f>
        <x:v>0.02</x:v>
      </x:c>
      <x:c r="U89" s="7" t="str">
        <x:v>Align title, evidence, internal links and RFQ CTA with this search intent.</x:v>
      </x:c>
    </x:row>
    <x:row r="90" ht="19" customHeight="1">
      <x:c r="A90" s="7" t="str">
        <x:v>pressure control valve manufacturer</x:v>
      </x:c>
      <x:c r="B90" s="8" t="n">
        <x:v>10</x:v>
      </x:c>
      <x:c r="C90" s="9" t="n">
        <x:v>0</x:v>
      </x:c>
      <x:c r="D90" s="10" t="n">
        <x:v>0.07</x:v>
      </x:c>
      <x:c r="E90" s="8" t="n">
        <x:v>10</x:v>
      </x:c>
      <x:c r="F90" s="11" t="n">
        <x:v>0.09090909090909098</x:v>
      </x:c>
      <x:c r="G90" s="7" t="str">
        <x:v>Transactional</x:v>
      </x:c>
      <x:c r="H90" s="7" t="str">
        <x:v>Hydraulic Valves</x:v>
      </x:c>
      <x:c r="I90" s="7" t="n">
        <x:v>5</x:v>
      </x:c>
      <x:c r="J90" s="7" t="str">
        <x:v>/products/hydraulic-valves/pressure-control-valves/</x:v>
      </x:c>
      <x:c r="K90" s="7" t="str">
        <x:v>Covered</x:v>
      </x:c>
      <x:c r="L90" s="7" t="str">
        <x:v>Optimize existing page</x:v>
      </x:c>
      <x:c r="M90" s="7" t="str">
        <x:v>Product / category</x:v>
      </x:c>
      <x:c r="N90" s="7" t="n">
        <x:v>5</x:v>
      </x:c>
      <x:c r="O90" s="7" t="n">
        <x:f>IF(B90&gt;=1000,5,IF(B90&gt;=300,4,IF(B90&gt;=100,3,IF(B90&gt;=30,2,IF(B90&gt;=10,1,0)))))</x:f>
        <x:v>1</x:v>
      </x:c>
      <x:c r="P90" s="7" t="n">
        <x:f>IF(C90&gt;=5,4,IF(C90&gt;=2,3,IF(C90&gt;=1,2,IF(C90&gt;0,1,0))))</x:f>
        <x:v>0</x:v>
      </x:c>
      <x:c r="Q90" s="7" t="n">
        <x:f>N90*2+O90+P90+IF(F90&gt;=0.2,1,0)+IF(K90="Gap",2,0)-IF(I90&lt;=2,5,0)</x:f>
        <x:v>11</x:v>
      </x:c>
      <x:c r="R90" s="7" t="str">
        <x:f>IF(I90&lt;=2,"D",IF(Q90&gt;=15,"A",IF(Q90&gt;=11,"B",IF(Q90&gt;=7,"C","D"))))</x:f>
        <x:v>B</x:v>
      </x:c>
      <x:c r="S90" s="12" t="n">
        <x:f>B90*'Dashboard'!$B$11</x:f>
        <x:v>1</x:v>
      </x:c>
      <x:c r="T90" s="10" t="n">
        <x:f>S90*'Dashboard'!$D$11</x:f>
        <x:v>0.02</x:v>
      </x:c>
      <x:c r="U90" s="7" t="str">
        <x:v>Align title, evidence, internal links and RFQ CTA with this search intent.</x:v>
      </x:c>
    </x:row>
    <x:row r="91" ht="19" customHeight="1">
      <x:c r="A91" s="7" t="str">
        <x:v>pressure control valve supplier</x:v>
      </x:c>
      <x:c r="B91" s="8" t="n">
        <x:v>10</x:v>
      </x:c>
      <x:c r="C91" s="9" t="n">
        <x:v>0</x:v>
      </x:c>
      <x:c r="D91" s="10" t="n">
        <x:v>0.33</x:v>
      </x:c>
      <x:c r="E91" s="8" t="n">
        <x:v>10</x:v>
      </x:c>
      <x:c r="F91" s="11" t="n">
        <x:v>0.09090909090909098</x:v>
      </x:c>
      <x:c r="G91" s="7" t="str">
        <x:v>Transactional</x:v>
      </x:c>
      <x:c r="H91" s="7" t="str">
        <x:v>Hydraulic Valves</x:v>
      </x:c>
      <x:c r="I91" s="7" t="n">
        <x:v>5</x:v>
      </x:c>
      <x:c r="J91" s="7" t="str">
        <x:v>/products/hydraulic-valves/pressure-control-valves/</x:v>
      </x:c>
      <x:c r="K91" s="7" t="str">
        <x:v>Covered</x:v>
      </x:c>
      <x:c r="L91" s="7" t="str">
        <x:v>Optimize existing page</x:v>
      </x:c>
      <x:c r="M91" s="7" t="str">
        <x:v>Product / category</x:v>
      </x:c>
      <x:c r="N91" s="7" t="n">
        <x:v>5</x:v>
      </x:c>
      <x:c r="O91" s="7" t="n">
        <x:f>IF(B91&gt;=1000,5,IF(B91&gt;=300,4,IF(B91&gt;=100,3,IF(B91&gt;=30,2,IF(B91&gt;=10,1,0)))))</x:f>
        <x:v>1</x:v>
      </x:c>
      <x:c r="P91" s="7" t="n">
        <x:f>IF(C91&gt;=5,4,IF(C91&gt;=2,3,IF(C91&gt;=1,2,IF(C91&gt;0,1,0))))</x:f>
        <x:v>0</x:v>
      </x:c>
      <x:c r="Q91" s="7" t="n">
        <x:f>N91*2+O91+P91+IF(F91&gt;=0.2,1,0)+IF(K91="Gap",2,0)-IF(I91&lt;=2,5,0)</x:f>
        <x:v>11</x:v>
      </x:c>
      <x:c r="R91" s="7" t="str">
        <x:f>IF(I91&lt;=2,"D",IF(Q91&gt;=15,"A",IF(Q91&gt;=11,"B",IF(Q91&gt;=7,"C","D"))))</x:f>
        <x:v>B</x:v>
      </x:c>
      <x:c r="S91" s="12" t="n">
        <x:f>B91*'Dashboard'!$B$11</x:f>
        <x:v>1</x:v>
      </x:c>
      <x:c r="T91" s="10" t="n">
        <x:f>S91*'Dashboard'!$D$11</x:f>
        <x:v>0.02</x:v>
      </x:c>
      <x:c r="U91" s="7" t="str">
        <x:v>Align title, evidence, internal links and RFQ CTA with this search intent.</x:v>
      </x:c>
    </x:row>
    <x:row r="92" ht="19" customHeight="1">
      <x:c r="A92" s="7" t="str">
        <x:v>t6cc</x:v>
      </x:c>
      <x:c r="B92" s="8" t="n">
        <x:v>10</x:v>
      </x:c>
      <x:c r="C92" s="9" t="n">
        <x:v>0</x:v>
      </x:c>
      <x:c r="D92" s="10" t="n">
        <x:v>0.36</x:v>
      </x:c>
      <x:c r="E92" s="8" t="n">
        <x:v>10</x:v>
      </x:c>
      <x:c r="F92" s="11" t="n">
        <x:v>-0.14285714285714282</x:v>
      </x:c>
      <x:c r="G92" s="7" t="str">
        <x:v>Product research</x:v>
      </x:c>
      <x:c r="H92" s="7" t="str">
        <x:v>Hydraulic Pumps</x:v>
      </x:c>
      <x:c r="I92" s="7" t="n">
        <x:v>5</x:v>
      </x:c>
      <x:c r="J92" s="7" t="str">
        <x:v>/series/t6cc/</x:v>
      </x:c>
      <x:c r="K92" s="7" t="str">
        <x:v>Covered</x:v>
      </x:c>
      <x:c r="L92" s="7" t="str">
        <x:v>Optimize existing page</x:v>
      </x:c>
      <x:c r="M92" s="7" t="str">
        <x:v>Series hub</x:v>
      </x:c>
      <x:c r="N92" s="7" t="n">
        <x:v>5</x:v>
      </x:c>
      <x:c r="O92" s="7" t="n">
        <x:f>IF(B92&gt;=1000,5,IF(B92&gt;=300,4,IF(B92&gt;=100,3,IF(B92&gt;=30,2,IF(B92&gt;=10,1,0)))))</x:f>
        <x:v>1</x:v>
      </x:c>
      <x:c r="P92" s="7" t="n">
        <x:f>IF(C92&gt;=5,4,IF(C92&gt;=2,3,IF(C92&gt;=1,2,IF(C92&gt;0,1,0))))</x:f>
        <x:v>0</x:v>
      </x:c>
      <x:c r="Q92" s="7" t="n">
        <x:f>N92*2+O92+P92+IF(F92&gt;=0.2,1,0)+IF(K92="Gap",2,0)-IF(I92&lt;=2,5,0)</x:f>
        <x:v>11</x:v>
      </x:c>
      <x:c r="R92" s="7" t="str">
        <x:f>IF(I92&lt;=2,"D",IF(Q92&gt;=15,"A",IF(Q92&gt;=11,"B",IF(Q92&gt;=7,"C","D"))))</x:f>
        <x:v>B</x:v>
      </x:c>
      <x:c r="S92" s="12" t="n">
        <x:f>B92*'Dashboard'!$B$11</x:f>
        <x:v>1</x:v>
      </x:c>
      <x:c r="T92" s="10" t="n">
        <x:f>S92*'Dashboard'!$D$11</x:f>
        <x:v>0.02</x:v>
      </x:c>
      <x:c r="U92" s="7" t="str">
        <x:v>Align title, evidence, internal links and RFQ CTA with this search intent.</x:v>
      </x:c>
    </x:row>
    <x:row r="93" ht="19" customHeight="1">
      <x:c r="A93" s="7" t="str">
        <x:v>t6ccm</x:v>
      </x:c>
      <x:c r="B93" s="8" t="n">
        <x:v>10</x:v>
      </x:c>
      <x:c r="C93" s="9" t="n">
        <x:v>0</x:v>
      </x:c>
      <x:c r="D93" s="10" t="n">
        <x:v>0.71</x:v>
      </x:c>
      <x:c r="E93" s="8" t="n">
        <x:v>10</x:v>
      </x:c>
      <x:c r="F93" s="11" t="n">
        <x:v>0</x:v>
      </x:c>
      <x:c r="G93" s="7" t="str">
        <x:v>Product research</x:v>
      </x:c>
      <x:c r="H93" s="7" t="str">
        <x:v>Hydraulic Pumps</x:v>
      </x:c>
      <x:c r="I93" s="7" t="n">
        <x:v>5</x:v>
      </x:c>
      <x:c r="J93" s="7" t="str">
        <x:v>/series/t6ccm/</x:v>
      </x:c>
      <x:c r="K93" s="7" t="str">
        <x:v>Covered</x:v>
      </x:c>
      <x:c r="L93" s="7" t="str">
        <x:v>Optimize existing page</x:v>
      </x:c>
      <x:c r="M93" s="7" t="str">
        <x:v>Series hub</x:v>
      </x:c>
      <x:c r="N93" s="7" t="n">
        <x:v>5</x:v>
      </x:c>
      <x:c r="O93" s="7" t="n">
        <x:f>IF(B93&gt;=1000,5,IF(B93&gt;=300,4,IF(B93&gt;=100,3,IF(B93&gt;=30,2,IF(B93&gt;=10,1,0)))))</x:f>
        <x:v>1</x:v>
      </x:c>
      <x:c r="P93" s="7" t="n">
        <x:f>IF(C93&gt;=5,4,IF(C93&gt;=2,3,IF(C93&gt;=1,2,IF(C93&gt;0,1,0))))</x:f>
        <x:v>0</x:v>
      </x:c>
      <x:c r="Q93" s="7" t="n">
        <x:f>N93*2+O93+P93+IF(F93&gt;=0.2,1,0)+IF(K93="Gap",2,0)-IF(I93&lt;=2,5,0)</x:f>
        <x:v>11</x:v>
      </x:c>
      <x:c r="R93" s="7" t="str">
        <x:f>IF(I93&lt;=2,"D",IF(Q93&gt;=15,"A",IF(Q93&gt;=11,"B",IF(Q93&gt;=7,"C","D"))))</x:f>
        <x:v>B</x:v>
      </x:c>
      <x:c r="S93" s="12" t="n">
        <x:f>B93*'Dashboard'!$B$11</x:f>
        <x:v>1</x:v>
      </x:c>
      <x:c r="T93" s="10" t="n">
        <x:f>S93*'Dashboard'!$D$11</x:f>
        <x:v>0.02</x:v>
      </x:c>
      <x:c r="U93" s="7" t="str">
        <x:v>Align title, evidence, internal links and RFQ CTA with this search intent.</x:v>
      </x:c>
    </x:row>
    <x:row r="94" ht="19" customHeight="1">
      <x:c r="A94" s="7" t="str">
        <x:v>tmb parts</x:v>
      </x:c>
      <x:c r="B94" s="8" t="n">
        <x:v>10</x:v>
      </x:c>
      <x:c r="C94" s="9" t="n">
        <x:v>0</x:v>
      </x:c>
      <x:c r="D94" s="10" t="n">
        <x:v>0</x:v>
      </x:c>
      <x:c r="E94" s="8" t="n">
        <x:v>10</x:v>
      </x:c>
      <x:c r="F94" s="11" t="n">
        <x:v>0</x:v>
      </x:c>
      <x:c r="G94" s="7" t="str">
        <x:v>Commercial</x:v>
      </x:c>
      <x:c r="H94" s="7" t="str">
        <x:v>Hydraulic Motors</x:v>
      </x:c>
      <x:c r="I94" s="7" t="n">
        <x:v>5</x:v>
      </x:c>
      <x:c r="J94" s="7" t="str">
        <x:v>/series/tmb/</x:v>
      </x:c>
      <x:c r="K94" s="7" t="str">
        <x:v>Covered</x:v>
      </x:c>
      <x:c r="L94" s="7" t="str">
        <x:v>Optimize existing page</x:v>
      </x:c>
      <x:c r="M94" s="7" t="str">
        <x:v>Series hub</x:v>
      </x:c>
      <x:c r="N94" s="7" t="n">
        <x:v>5</x:v>
      </x:c>
      <x:c r="O94" s="7" t="n">
        <x:f>IF(B94&gt;=1000,5,IF(B94&gt;=300,4,IF(B94&gt;=100,3,IF(B94&gt;=30,2,IF(B94&gt;=10,1,0)))))</x:f>
        <x:v>1</x:v>
      </x:c>
      <x:c r="P94" s="7" t="n">
        <x:f>IF(C94&gt;=5,4,IF(C94&gt;=2,3,IF(C94&gt;=1,2,IF(C94&gt;0,1,0))))</x:f>
        <x:v>0</x:v>
      </x:c>
      <x:c r="Q94" s="7" t="n">
        <x:f>N94*2+O94+P94+IF(F94&gt;=0.2,1,0)+IF(K94="Gap",2,0)-IF(I94&lt;=2,5,0)</x:f>
        <x:v>11</x:v>
      </x:c>
      <x:c r="R94" s="7" t="str">
        <x:f>IF(I94&lt;=2,"D",IF(Q94&gt;=15,"A",IF(Q94&gt;=11,"B",IF(Q94&gt;=7,"C","D"))))</x:f>
        <x:v>B</x:v>
      </x:c>
      <x:c r="S94" s="12" t="n">
        <x:f>B94*'Dashboard'!$B$11</x:f>
        <x:v>1</x:v>
      </x:c>
      <x:c r="T94" s="10" t="n">
        <x:f>S94*'Dashboard'!$D$11</x:f>
        <x:v>0.02</x:v>
      </x:c>
      <x:c r="U94" s="7" t="str">
        <x:v>Align title, evidence, internal links and RFQ CTA with this search intent.</x:v>
      </x:c>
    </x:row>
    <x:row r="95" ht="19" customHeight="1">
      <x:c r="A95" s="7" t="str">
        <x:v>caterpillar hydraulic motor</x:v>
      </x:c>
      <x:c r="B95" s="8" t="n">
        <x:v>20</x:v>
      </x:c>
      <x:c r="C95" s="9" t="n">
        <x:v>0</x:v>
      </x:c>
      <x:c r="D95" s="10" t="n">
        <x:v>0.45</x:v>
      </x:c>
      <x:c r="E95" s="8" t="n">
        <x:v>30</x:v>
      </x:c>
      <x:c r="F95" s="11" t="n">
        <x:v>0.44000000000000006</x:v>
      </x:c>
      <x:c r="G95" s="7" t="str">
        <x:v>Product research</x:v>
      </x:c>
      <x:c r="H95" s="7" t="str">
        <x:v>Hydraulic Motors</x:v>
      </x:c>
      <x:c r="I95" s="7" t="n">
        <x:v>5</x:v>
      </x:c>
      <x:c r="J95" s="7" t="str">
        <x:v>/products/hydraulic-motors/</x:v>
      </x:c>
      <x:c r="K95" s="7" t="str">
        <x:v>Covered</x:v>
      </x:c>
      <x:c r="L95" s="7" t="str">
        <x:v>Optimize existing page</x:v>
      </x:c>
      <x:c r="M95" s="7" t="str">
        <x:v>Product / category</x:v>
      </x:c>
      <x:c r="N95" s="7" t="n">
        <x:v>4</x:v>
      </x:c>
      <x:c r="O95" s="7" t="n">
        <x:f>IF(B95&gt;=1000,5,IF(B95&gt;=300,4,IF(B95&gt;=100,3,IF(B95&gt;=30,2,IF(B95&gt;=10,1,0)))))</x:f>
        <x:v>1</x:v>
      </x:c>
      <x:c r="P95" s="7" t="n">
        <x:f>IF(C95&gt;=5,4,IF(C95&gt;=2,3,IF(C95&gt;=1,2,IF(C95&gt;0,1,0))))</x:f>
        <x:v>0</x:v>
      </x:c>
      <x:c r="Q95" s="7" t="n">
        <x:f>N95*2+O95+P95+IF(F95&gt;=0.2,1,0)+IF(K95="Gap",2,0)-IF(I95&lt;=2,5,0)</x:f>
        <x:v>10</x:v>
      </x:c>
      <x:c r="R95" s="7" t="str">
        <x:f>IF(I95&lt;=2,"D",IF(Q95&gt;=15,"A",IF(Q95&gt;=11,"B",IF(Q95&gt;=7,"C","D"))))</x:f>
        <x:v>C</x:v>
      </x:c>
      <x:c r="S95" s="12" t="n">
        <x:f>B95*'Dashboard'!$B$11</x:f>
        <x:v>2</x:v>
      </x:c>
      <x:c r="T95" s="10" t="n">
        <x:f>S95*'Dashboard'!$D$11</x:f>
        <x:v>0.04</x:v>
      </x:c>
      <x:c r="U95" s="7" t="str">
        <x:v>Align title, evidence, internal links and RFQ CTA with this search intent.</x:v>
      </x:c>
    </x:row>
    <x:row r="96" ht="19" customHeight="1">
      <x:c r="A96" s="7" t="str">
        <x:v>02-102262</x:v>
      </x:c>
      <x:c r="B96" s="8" t="n">
        <x:v>0</x:v>
      </x:c>
      <x:c r="C96" s="9" t="n">
        <x:v>0</x:v>
      </x:c>
      <x:c r="D96" s="10" t="n">
        <x:v>0</x:v>
      </x:c>
      <x:c r="E96" s="8" t="n">
        <x:v>0</x:v>
      </x:c>
      <x:c r="F96" s="11" t="n">
        <x:v>0</x:v>
      </x:c>
      <x:c r="G96" s="7" t="str">
        <x:v>Product research</x:v>
      </x:c>
      <x:c r="H96" s="7" t="str">
        <x:v>Technical / Other</x:v>
      </x:c>
      <x:c r="I96" s="7" t="n">
        <x:v>5</x:v>
      </x:c>
      <x:c r="J96" s="7" t="str">
        <x:v>/models/vickers-02-102262-seal-kit-pvh74-pvh81/</x:v>
      </x:c>
      <x:c r="K96" s="7" t="str">
        <x:v>Covered</x:v>
      </x:c>
      <x:c r="L96" s="7" t="str">
        <x:v>Optimize existing page</x:v>
      </x:c>
      <x:c r="M96" s="7" t="str">
        <x:v>Model record</x:v>
      </x:c>
      <x:c r="N96" s="7" t="n">
        <x:v>5</x:v>
      </x:c>
      <x:c r="O96" s="7" t="n">
        <x:f>IF(B96&gt;=1000,5,IF(B96&gt;=300,4,IF(B96&gt;=100,3,IF(B96&gt;=30,2,IF(B96&gt;=10,1,0)))))</x:f>
        <x:v>0</x:v>
      </x:c>
      <x:c r="P96" s="7" t="n">
        <x:f>IF(C96&gt;=5,4,IF(C96&gt;=2,3,IF(C96&gt;=1,2,IF(C96&gt;0,1,0))))</x:f>
        <x:v>0</x:v>
      </x:c>
      <x:c r="Q96" s="7" t="n">
        <x:f>N96*2+O96+P96+IF(F96&gt;=0.2,1,0)+IF(K96="Gap",2,0)-IF(I96&lt;=2,5,0)</x:f>
        <x:v>10</x:v>
      </x:c>
      <x:c r="R96" s="7" t="str">
        <x:f>IF(I96&lt;=2,"D",IF(Q96&gt;=15,"A",IF(Q96&gt;=11,"B",IF(Q96&gt;=7,"C","D"))))</x:f>
        <x:v>C</x:v>
      </x:c>
      <x:c r="S96" s="12" t="n">
        <x:f>B96*'Dashboard'!$B$11</x:f>
        <x:v>0</x:v>
      </x:c>
      <x:c r="T96" s="10" t="n">
        <x:f>S96*'Dashboard'!$D$11</x:f>
        <x:v>0</x:v>
      </x:c>
      <x:c r="U96" s="7" t="str">
        <x:v>Low-volume commercial long tail; retain only when real supply evidence is available.</x:v>
      </x:c>
    </x:row>
    <x:row r="97" ht="19" customHeight="1">
      <x:c r="A97" s="7" t="str">
        <x:v>02-102262 replacement</x:v>
      </x:c>
      <x:c r="B97" s="8" t="n">
        <x:v>0</x:v>
      </x:c>
      <x:c r="C97" s="9" t="n">
        <x:v>0</x:v>
      </x:c>
      <x:c r="D97" s="10" t="n">
        <x:v>0</x:v>
      </x:c>
      <x:c r="E97" s="8" t="n">
        <x:v>0</x:v>
      </x:c>
      <x:c r="F97" s="11" t="n">
        <x:v>0</x:v>
      </x:c>
      <x:c r="G97" s="7" t="str">
        <x:v>Commercial</x:v>
      </x:c>
      <x:c r="H97" s="7" t="str">
        <x:v>Replacement &amp; Cross-reference</x:v>
      </x:c>
      <x:c r="I97" s="7" t="n">
        <x:v>5</x:v>
      </x:c>
      <x:c r="J97" s="7" t="str">
        <x:v>/models/vickers-02-102262-seal-kit-pvh74-pvh81/</x:v>
      </x:c>
      <x:c r="K97" s="7" t="str">
        <x:v>Covered</x:v>
      </x:c>
      <x:c r="L97" s="7" t="str">
        <x:v>Optimize existing page</x:v>
      </x:c>
      <x:c r="M97" s="7" t="str">
        <x:v>Model record</x:v>
      </x:c>
      <x:c r="N97" s="7" t="n">
        <x:v>5</x:v>
      </x:c>
      <x:c r="O97" s="7" t="n">
        <x:f>IF(B97&gt;=1000,5,IF(B97&gt;=300,4,IF(B97&gt;=100,3,IF(B97&gt;=30,2,IF(B97&gt;=10,1,0)))))</x:f>
        <x:v>0</x:v>
      </x:c>
      <x:c r="P97" s="7" t="n">
        <x:f>IF(C97&gt;=5,4,IF(C97&gt;=2,3,IF(C97&gt;=1,2,IF(C97&gt;0,1,0))))</x:f>
        <x:v>0</x:v>
      </x:c>
      <x:c r="Q97" s="7" t="n">
        <x:f>N97*2+O97+P97+IF(F97&gt;=0.2,1,0)+IF(K97="Gap",2,0)-IF(I97&lt;=2,5,0)</x:f>
        <x:v>10</x:v>
      </x:c>
      <x:c r="R97" s="7" t="str">
        <x:f>IF(I97&lt;=2,"D",IF(Q97&gt;=15,"A",IF(Q97&gt;=11,"B",IF(Q97&gt;=7,"C","D"))))</x:f>
        <x:v>C</x:v>
      </x:c>
      <x:c r="S97" s="12" t="n">
        <x:f>B97*'Dashboard'!$B$11</x:f>
        <x:v>0</x:v>
      </x:c>
      <x:c r="T97" s="10" t="n">
        <x:f>S97*'Dashboard'!$D$11</x:f>
        <x:v>0</x:v>
      </x:c>
      <x:c r="U97" s="7" t="str">
        <x:v>Low-volume commercial long tail; retain only when real supply evidence is available.</x:v>
      </x:c>
    </x:row>
    <x:row r="98" ht="19" customHeight="1">
      <x:c r="A98" s="7" t="str">
        <x:v>02-102262 seal kit</x:v>
      </x:c>
      <x:c r="B98" s="8" t="n">
        <x:v>0</x:v>
      </x:c>
      <x:c r="C98" s="9" t="n">
        <x:v>0</x:v>
      </x:c>
      <x:c r="D98" s="10" t="n">
        <x:v>0</x:v>
      </x:c>
      <x:c r="E98" s="8" t="n">
        <x:v>0</x:v>
      </x:c>
      <x:c r="F98" s="11" t="n">
        <x:v>0</x:v>
      </x:c>
      <x:c r="G98" s="7" t="str">
        <x:v>Commercial</x:v>
      </x:c>
      <x:c r="H98" s="7" t="str">
        <x:v>Repair Kits &amp; Service Parts</x:v>
      </x:c>
      <x:c r="I98" s="7" t="n">
        <x:v>5</x:v>
      </x:c>
      <x:c r="J98" s="7" t="str">
        <x:v>/models/vickers-02-102262-seal-kit-pvh74-pvh81/</x:v>
      </x:c>
      <x:c r="K98" s="7" t="str">
        <x:v>Covered</x:v>
      </x:c>
      <x:c r="L98" s="7" t="str">
        <x:v>Optimize existing page</x:v>
      </x:c>
      <x:c r="M98" s="7" t="str">
        <x:v>Model record</x:v>
      </x:c>
      <x:c r="N98" s="7" t="n">
        <x:v>5</x:v>
      </x:c>
      <x:c r="O98" s="7" t="n">
        <x:f>IF(B98&gt;=1000,5,IF(B98&gt;=300,4,IF(B98&gt;=100,3,IF(B98&gt;=30,2,IF(B98&gt;=10,1,0)))))</x:f>
        <x:v>0</x:v>
      </x:c>
      <x:c r="P98" s="7" t="n">
        <x:f>IF(C98&gt;=5,4,IF(C98&gt;=2,3,IF(C98&gt;=1,2,IF(C98&gt;0,1,0))))</x:f>
        <x:v>0</x:v>
      </x:c>
      <x:c r="Q98" s="7" t="n">
        <x:f>N98*2+O98+P98+IF(F98&gt;=0.2,1,0)+IF(K98="Gap",2,0)-IF(I98&lt;=2,5,0)</x:f>
        <x:v>10</x:v>
      </x:c>
      <x:c r="R98" s="7" t="str">
        <x:f>IF(I98&lt;=2,"D",IF(Q98&gt;=15,"A",IF(Q98&gt;=11,"B",IF(Q98&gt;=7,"C","D"))))</x:f>
        <x:v>C</x:v>
      </x:c>
      <x:c r="S98" s="12" t="n">
        <x:f>B98*'Dashboard'!$B$11</x:f>
        <x:v>0</x:v>
      </x:c>
      <x:c r="T98" s="10" t="n">
        <x:f>S98*'Dashboard'!$D$11</x:f>
        <x:v>0</x:v>
      </x:c>
      <x:c r="U98" s="7" t="str">
        <x:v>Low-volume commercial long tail; retain only when real supply evidence is available.</x:v>
      </x:c>
    </x:row>
    <x:row r="99" ht="19" customHeight="1">
      <x:c r="A99" s="7" t="str">
        <x:v>02-102262 supplier</x:v>
      </x:c>
      <x:c r="B99" s="8" t="n">
        <x:v>0</x:v>
      </x:c>
      <x:c r="C99" s="9" t="n">
        <x:v>0</x:v>
      </x:c>
      <x:c r="D99" s="10" t="n">
        <x:v>0</x:v>
      </x:c>
      <x:c r="E99" s="8" t="n">
        <x:v>0</x:v>
      </x:c>
      <x:c r="F99" s="11" t="n">
        <x:v>0</x:v>
      </x:c>
      <x:c r="G99" s="7" t="str">
        <x:v>Transactional</x:v>
      </x:c>
      <x:c r="H99" s="7" t="str">
        <x:v>Technical / Other</x:v>
      </x:c>
      <x:c r="I99" s="7" t="n">
        <x:v>5</x:v>
      </x:c>
      <x:c r="J99" s="7" t="str">
        <x:v>/models/vickers-02-102262-seal-kit-pvh74-pvh81/</x:v>
      </x:c>
      <x:c r="K99" s="7" t="str">
        <x:v>Covered</x:v>
      </x:c>
      <x:c r="L99" s="7" t="str">
        <x:v>Optimize existing page</x:v>
      </x:c>
      <x:c r="M99" s="7" t="str">
        <x:v>Model record</x:v>
      </x:c>
      <x:c r="N99" s="7" t="n">
        <x:v>5</x:v>
      </x:c>
      <x:c r="O99" s="7" t="n">
        <x:f>IF(B99&gt;=1000,5,IF(B99&gt;=300,4,IF(B99&gt;=100,3,IF(B99&gt;=30,2,IF(B99&gt;=10,1,0)))))</x:f>
        <x:v>0</x:v>
      </x:c>
      <x:c r="P99" s="7" t="n">
        <x:f>IF(C99&gt;=5,4,IF(C99&gt;=2,3,IF(C99&gt;=1,2,IF(C99&gt;0,1,0))))</x:f>
        <x:v>0</x:v>
      </x:c>
      <x:c r="Q99" s="7" t="n">
        <x:f>N99*2+O99+P99+IF(F99&gt;=0.2,1,0)+IF(K99="Gap",2,0)-IF(I99&lt;=2,5,0)</x:f>
        <x:v>10</x:v>
      </x:c>
      <x:c r="R99" s="7" t="str">
        <x:f>IF(I99&lt;=2,"D",IF(Q99&gt;=15,"A",IF(Q99&gt;=11,"B",IF(Q99&gt;=7,"C","D"))))</x:f>
        <x:v>C</x:v>
      </x:c>
      <x:c r="S99" s="12" t="n">
        <x:f>B99*'Dashboard'!$B$11</x:f>
        <x:v>0</x:v>
      </x:c>
      <x:c r="T99" s="10" t="n">
        <x:f>S99*'Dashboard'!$D$11</x:f>
        <x:v>0</x:v>
      </x:c>
      <x:c r="U99" s="7" t="str">
        <x:v>Low-volume commercial long tail; retain only when real supply evidence is available.</x:v>
      </x:c>
    </x:row>
    <x:row r="100" ht="19" customHeight="1">
      <x:c r="A100" s="7" t="str">
        <x:v>02-102264</x:v>
      </x:c>
      <x:c r="B100" s="8" t="n">
        <x:v>0</x:v>
      </x:c>
      <x:c r="C100" s="9" t="n">
        <x:v>0</x:v>
      </x:c>
      <x:c r="D100" s="10" t="n">
        <x:v>0</x:v>
      </x:c>
      <x:c r="E100" s="8" t="n">
        <x:v>0</x:v>
      </x:c>
      <x:c r="F100" s="11" t="n">
        <x:v>0</x:v>
      </x:c>
      <x:c r="G100" s="7" t="str">
        <x:v>Product research</x:v>
      </x:c>
      <x:c r="H100" s="7" t="str">
        <x:v>Technical / Other</x:v>
      </x:c>
      <x:c r="I100" s="7" t="n">
        <x:v>5</x:v>
      </x:c>
      <x:c r="J100" s="7" t="str">
        <x:v>/models/vickers-02-102264-seal-kit-pvh98-pvh106/</x:v>
      </x:c>
      <x:c r="K100" s="7" t="str">
        <x:v>Covered</x:v>
      </x:c>
      <x:c r="L100" s="7" t="str">
        <x:v>Optimize existing page</x:v>
      </x:c>
      <x:c r="M100" s="7" t="str">
        <x:v>Model record</x:v>
      </x:c>
      <x:c r="N100" s="7" t="n">
        <x:v>5</x:v>
      </x:c>
      <x:c r="O100" s="7" t="n">
        <x:f>IF(B100&gt;=1000,5,IF(B100&gt;=300,4,IF(B100&gt;=100,3,IF(B100&gt;=30,2,IF(B100&gt;=10,1,0)))))</x:f>
        <x:v>0</x:v>
      </x:c>
      <x:c r="P100" s="7" t="n">
        <x:f>IF(C100&gt;=5,4,IF(C100&gt;=2,3,IF(C100&gt;=1,2,IF(C100&gt;0,1,0))))</x:f>
        <x:v>0</x:v>
      </x:c>
      <x:c r="Q100" s="7" t="n">
        <x:f>N100*2+O100+P100+IF(F100&gt;=0.2,1,0)+IF(K100="Gap",2,0)-IF(I100&lt;=2,5,0)</x:f>
        <x:v>10</x:v>
      </x:c>
      <x:c r="R100" s="7" t="str">
        <x:f>IF(I100&lt;=2,"D",IF(Q100&gt;=15,"A",IF(Q100&gt;=11,"B",IF(Q100&gt;=7,"C","D"))))</x:f>
        <x:v>C</x:v>
      </x:c>
      <x:c r="S100" s="12" t="n">
        <x:f>B100*'Dashboard'!$B$11</x:f>
        <x:v>0</x:v>
      </x:c>
      <x:c r="T100" s="10" t="n">
        <x:f>S100*'Dashboard'!$D$11</x:f>
        <x:v>0</x:v>
      </x:c>
      <x:c r="U100" s="7" t="str">
        <x:v>Low-volume commercial long tail; retain only when real supply evidence is available.</x:v>
      </x:c>
    </x:row>
    <x:row r="101" ht="19" customHeight="1">
      <x:c r="A101" s="7" t="str">
        <x:v>02-102264 replacement</x:v>
      </x:c>
      <x:c r="B101" s="8" t="n">
        <x:v>0</x:v>
      </x:c>
      <x:c r="C101" s="9" t="n">
        <x:v>0</x:v>
      </x:c>
      <x:c r="D101" s="10" t="n">
        <x:v>0</x:v>
      </x:c>
      <x:c r="E101" s="8" t="n">
        <x:v>0</x:v>
      </x:c>
      <x:c r="F101" s="11" t="n">
        <x:v>0</x:v>
      </x:c>
      <x:c r="G101" s="7" t="str">
        <x:v>Commercial</x:v>
      </x:c>
      <x:c r="H101" s="7" t="str">
        <x:v>Replacement &amp; Cross-reference</x:v>
      </x:c>
      <x:c r="I101" s="7" t="n">
        <x:v>5</x:v>
      </x:c>
      <x:c r="J101" s="7" t="str">
        <x:v>/models/vickers-02-102264-seal-kit-pvh98-pvh106/</x:v>
      </x:c>
      <x:c r="K101" s="7" t="str">
        <x:v>Covered</x:v>
      </x:c>
      <x:c r="L101" s="7" t="str">
        <x:v>Optimize existing page</x:v>
      </x:c>
      <x:c r="M101" s="7" t="str">
        <x:v>Model record</x:v>
      </x:c>
      <x:c r="N101" s="7" t="n">
        <x:v>5</x:v>
      </x:c>
      <x:c r="O101" s="7" t="n">
        <x:f>IF(B101&gt;=1000,5,IF(B101&gt;=300,4,IF(B101&gt;=100,3,IF(B101&gt;=30,2,IF(B101&gt;=10,1,0)))))</x:f>
        <x:v>0</x:v>
      </x:c>
      <x:c r="P101" s="7" t="n">
        <x:f>IF(C101&gt;=5,4,IF(C101&gt;=2,3,IF(C101&gt;=1,2,IF(C101&gt;0,1,0))))</x:f>
        <x:v>0</x:v>
      </x:c>
      <x:c r="Q101" s="7" t="n">
        <x:f>N101*2+O101+P101+IF(F101&gt;=0.2,1,0)+IF(K101="Gap",2,0)-IF(I101&lt;=2,5,0)</x:f>
        <x:v>10</x:v>
      </x:c>
      <x:c r="R101" s="7" t="str">
        <x:f>IF(I101&lt;=2,"D",IF(Q101&gt;=15,"A",IF(Q101&gt;=11,"B",IF(Q101&gt;=7,"C","D"))))</x:f>
        <x:v>C</x:v>
      </x:c>
      <x:c r="S101" s="12" t="n">
        <x:f>B101*'Dashboard'!$B$11</x:f>
        <x:v>0</x:v>
      </x:c>
      <x:c r="T101" s="10" t="n">
        <x:f>S101*'Dashboard'!$D$11</x:f>
        <x:v>0</x:v>
      </x:c>
      <x:c r="U101" s="7" t="str">
        <x:v>Low-volume commercial long tail; retain only when real supply evidence is available.</x:v>
      </x:c>
    </x:row>
    <x:row r="102" ht="19" customHeight="1">
      <x:c r="A102" s="7" t="str">
        <x:v>02-102264 seal kit</x:v>
      </x:c>
      <x:c r="B102" s="8" t="n">
        <x:v>0</x:v>
      </x:c>
      <x:c r="C102" s="9" t="n">
        <x:v>0</x:v>
      </x:c>
      <x:c r="D102" s="10" t="n">
        <x:v>0</x:v>
      </x:c>
      <x:c r="E102" s="8" t="n">
        <x:v>0</x:v>
      </x:c>
      <x:c r="F102" s="11" t="n">
        <x:v>0</x:v>
      </x:c>
      <x:c r="G102" s="7" t="str">
        <x:v>Commercial</x:v>
      </x:c>
      <x:c r="H102" s="7" t="str">
        <x:v>Repair Kits &amp; Service Parts</x:v>
      </x:c>
      <x:c r="I102" s="7" t="n">
        <x:v>5</x:v>
      </x:c>
      <x:c r="J102" s="7" t="str">
        <x:v>/models/vickers-02-102264-seal-kit-pvh98-pvh106/</x:v>
      </x:c>
      <x:c r="K102" s="7" t="str">
        <x:v>Covered</x:v>
      </x:c>
      <x:c r="L102" s="7" t="str">
        <x:v>Optimize existing page</x:v>
      </x:c>
      <x:c r="M102" s="7" t="str">
        <x:v>Model record</x:v>
      </x:c>
      <x:c r="N102" s="7" t="n">
        <x:v>5</x:v>
      </x:c>
      <x:c r="O102" s="7" t="n">
        <x:f>IF(B102&gt;=1000,5,IF(B102&gt;=300,4,IF(B102&gt;=100,3,IF(B102&gt;=30,2,IF(B102&gt;=10,1,0)))))</x:f>
        <x:v>0</x:v>
      </x:c>
      <x:c r="P102" s="7" t="n">
        <x:f>IF(C102&gt;=5,4,IF(C102&gt;=2,3,IF(C102&gt;=1,2,IF(C102&gt;0,1,0))))</x:f>
        <x:v>0</x:v>
      </x:c>
      <x:c r="Q102" s="7" t="n">
        <x:f>N102*2+O102+P102+IF(F102&gt;=0.2,1,0)+IF(K102="Gap",2,0)-IF(I102&lt;=2,5,0)</x:f>
        <x:v>10</x:v>
      </x:c>
      <x:c r="R102" s="7" t="str">
        <x:f>IF(I102&lt;=2,"D",IF(Q102&gt;=15,"A",IF(Q102&gt;=11,"B",IF(Q102&gt;=7,"C","D"))))</x:f>
        <x:v>C</x:v>
      </x:c>
      <x:c r="S102" s="12" t="n">
        <x:f>B102*'Dashboard'!$B$11</x:f>
        <x:v>0</x:v>
      </x:c>
      <x:c r="T102" s="10" t="n">
        <x:f>S102*'Dashboard'!$D$11</x:f>
        <x:v>0</x:v>
      </x:c>
      <x:c r="U102" s="7" t="str">
        <x:v>Low-volume commercial long tail; retain only when real supply evidence is available.</x:v>
      </x:c>
    </x:row>
    <x:row r="103" ht="19" customHeight="1">
      <x:c r="A103" s="7" t="str">
        <x:v>02-102264 supplier</x:v>
      </x:c>
      <x:c r="B103" s="8" t="n">
        <x:v>0</x:v>
      </x:c>
      <x:c r="C103" s="9" t="n">
        <x:v>0</x:v>
      </x:c>
      <x:c r="D103" s="10" t="n">
        <x:v>0</x:v>
      </x:c>
      <x:c r="E103" s="8" t="n">
        <x:v>0</x:v>
      </x:c>
      <x:c r="F103" s="11" t="n">
        <x:v>0</x:v>
      </x:c>
      <x:c r="G103" s="7" t="str">
        <x:v>Transactional</x:v>
      </x:c>
      <x:c r="H103" s="7" t="str">
        <x:v>Technical / Other</x:v>
      </x:c>
      <x:c r="I103" s="7" t="n">
        <x:v>5</x:v>
      </x:c>
      <x:c r="J103" s="7" t="str">
        <x:v>/models/vickers-02-102264-seal-kit-pvh98-pvh106/</x:v>
      </x:c>
      <x:c r="K103" s="7" t="str">
        <x:v>Covered</x:v>
      </x:c>
      <x:c r="L103" s="7" t="str">
        <x:v>Optimize existing page</x:v>
      </x:c>
      <x:c r="M103" s="7" t="str">
        <x:v>Model record</x:v>
      </x:c>
      <x:c r="N103" s="7" t="n">
        <x:v>5</x:v>
      </x:c>
      <x:c r="O103" s="7" t="n">
        <x:f>IF(B103&gt;=1000,5,IF(B103&gt;=300,4,IF(B103&gt;=100,3,IF(B103&gt;=30,2,IF(B103&gt;=10,1,0)))))</x:f>
        <x:v>0</x:v>
      </x:c>
      <x:c r="P103" s="7" t="n">
        <x:f>IF(C103&gt;=5,4,IF(C103&gt;=2,3,IF(C103&gt;=1,2,IF(C103&gt;0,1,0))))</x:f>
        <x:v>0</x:v>
      </x:c>
      <x:c r="Q103" s="7" t="n">
        <x:f>N103*2+O103+P103+IF(F103&gt;=0.2,1,0)+IF(K103="Gap",2,0)-IF(I103&lt;=2,5,0)</x:f>
        <x:v>10</x:v>
      </x:c>
      <x:c r="R103" s="7" t="str">
        <x:f>IF(I103&lt;=2,"D",IF(Q103&gt;=15,"A",IF(Q103&gt;=11,"B",IF(Q103&gt;=7,"C","D"))))</x:f>
        <x:v>C</x:v>
      </x:c>
      <x:c r="S103" s="12" t="n">
        <x:f>B103*'Dashboard'!$B$11</x:f>
        <x:v>0</x:v>
      </x:c>
      <x:c r="T103" s="10" t="n">
        <x:f>S103*'Dashboard'!$D$11</x:f>
        <x:v>0</x:v>
      </x:c>
      <x:c r="U103" s="7" t="str">
        <x:v>Low-volume commercial long tail; retain only when real supply evidence is available.</x:v>
      </x:c>
    </x:row>
    <x:row r="104" ht="19" customHeight="1">
      <x:c r="A104" s="7" t="str">
        <x:v>169-4883 / 259-0815 / 295-9426 / 153-9426 / 10r3805</x:v>
      </x:c>
      <x:c r="B104" s="8" t="n">
        <x:v>0</x:v>
      </x:c>
      <x:c r="C104" s="9" t="n">
        <x:v>0</x:v>
      </x:c>
      <x:c r="D104" s="10" t="n">
        <x:v>0</x:v>
      </x:c>
      <x:c r="E104" s="8" t="n">
        <x:v>0</x:v>
      </x:c>
      <x:c r="F104" s="11" t="n">
        <x:v>0</x:v>
      </x:c>
      <x:c r="G104" s="7" t="str">
        <x:v>Product research</x:v>
      </x:c>
      <x:c r="H104" s="7" t="str">
        <x:v>Technical / Other</x:v>
      </x:c>
      <x:c r="I104" s="7" t="n">
        <x:v>5</x:v>
      </x:c>
      <x:c r="J104" s="7" t="str">
        <x:v>/models/cat-169-4883-259-0815-295-9426-153-9426-10r3805/</x:v>
      </x:c>
      <x:c r="K104" s="7" t="str">
        <x:v>Covered</x:v>
      </x:c>
      <x:c r="L104" s="7" t="str">
        <x:v>Optimize existing page</x:v>
      </x:c>
      <x:c r="M104" s="7" t="str">
        <x:v>Model record</x:v>
      </x:c>
      <x:c r="N104" s="7" t="n">
        <x:v>5</x:v>
      </x:c>
      <x:c r="O104" s="7" t="n">
        <x:f>IF(B104&gt;=1000,5,IF(B104&gt;=300,4,IF(B104&gt;=100,3,IF(B104&gt;=30,2,IF(B104&gt;=10,1,0)))))</x:f>
        <x:v>0</x:v>
      </x:c>
      <x:c r="P104" s="7" t="n">
        <x:f>IF(C104&gt;=5,4,IF(C104&gt;=2,3,IF(C104&gt;=1,2,IF(C104&gt;0,1,0))))</x:f>
        <x:v>0</x:v>
      </x:c>
      <x:c r="Q104" s="7" t="n">
        <x:f>N104*2+O104+P104+IF(F104&gt;=0.2,1,0)+IF(K104="Gap",2,0)-IF(I104&lt;=2,5,0)</x:f>
        <x:v>10</x:v>
      </x:c>
      <x:c r="R104" s="7" t="str">
        <x:f>IF(I104&lt;=2,"D",IF(Q104&gt;=15,"A",IF(Q104&gt;=11,"B",IF(Q104&gt;=7,"C","D"))))</x:f>
        <x:v>C</x:v>
      </x:c>
      <x:c r="S104" s="12" t="n">
        <x:f>B104*'Dashboard'!$B$11</x:f>
        <x:v>0</x:v>
      </x:c>
      <x:c r="T104" s="10" t="n">
        <x:f>S104*'Dashboard'!$D$11</x:f>
        <x:v>0</x:v>
      </x:c>
      <x:c r="U104" s="7" t="str">
        <x:v>Low-volume commercial long tail; retain only when real supply evidence is available.</x:v>
      </x:c>
    </x:row>
    <x:row r="105" ht="19" customHeight="1">
      <x:c r="A105" s="7" t="str">
        <x:v>169-4883 / 259-0815 / 295-9426 / 153-9426 / 10r3805 replacement</x:v>
      </x:c>
      <x:c r="B105" s="8" t="n">
        <x:v>0</x:v>
      </x:c>
      <x:c r="C105" s="9" t="n">
        <x:v>0</x:v>
      </x:c>
      <x:c r="D105" s="10" t="n">
        <x:v>0</x:v>
      </x:c>
      <x:c r="E105" s="8" t="n">
        <x:v>0</x:v>
      </x:c>
      <x:c r="F105" s="11" t="n">
        <x:v>0</x:v>
      </x:c>
      <x:c r="G105" s="7" t="str">
        <x:v>Commercial</x:v>
      </x:c>
      <x:c r="H105" s="7" t="str">
        <x:v>Replacement &amp; Cross-reference</x:v>
      </x:c>
      <x:c r="I105" s="7" t="n">
        <x:v>5</x:v>
      </x:c>
      <x:c r="J105" s="7" t="str">
        <x:v>/models/cat-169-4883-259-0815-295-9426-153-9426-10r3805/</x:v>
      </x:c>
      <x:c r="K105" s="7" t="str">
        <x:v>Covered</x:v>
      </x:c>
      <x:c r="L105" s="7" t="str">
        <x:v>Optimize existing page</x:v>
      </x:c>
      <x:c r="M105" s="7" t="str">
        <x:v>Model record</x:v>
      </x:c>
      <x:c r="N105" s="7" t="n">
        <x:v>5</x:v>
      </x:c>
      <x:c r="O105" s="7" t="n">
        <x:f>IF(B105&gt;=1000,5,IF(B105&gt;=300,4,IF(B105&gt;=100,3,IF(B105&gt;=30,2,IF(B105&gt;=10,1,0)))))</x:f>
        <x:v>0</x:v>
      </x:c>
      <x:c r="P105" s="7" t="n">
        <x:f>IF(C105&gt;=5,4,IF(C105&gt;=2,3,IF(C105&gt;=1,2,IF(C105&gt;0,1,0))))</x:f>
        <x:v>0</x:v>
      </x:c>
      <x:c r="Q105" s="7" t="n">
        <x:f>N105*2+O105+P105+IF(F105&gt;=0.2,1,0)+IF(K105="Gap",2,0)-IF(I105&lt;=2,5,0)</x:f>
        <x:v>10</x:v>
      </x:c>
      <x:c r="R105" s="7" t="str">
        <x:f>IF(I105&lt;=2,"D",IF(Q105&gt;=15,"A",IF(Q105&gt;=11,"B",IF(Q105&gt;=7,"C","D"))))</x:f>
        <x:v>C</x:v>
      </x:c>
      <x:c r="S105" s="12" t="n">
        <x:f>B105*'Dashboard'!$B$11</x:f>
        <x:v>0</x:v>
      </x:c>
      <x:c r="T105" s="10" t="n">
        <x:f>S105*'Dashboard'!$D$11</x:f>
        <x:v>0</x:v>
      </x:c>
      <x:c r="U105" s="7" t="str">
        <x:v>Low-volume commercial long tail; retain only when real supply evidence is available.</x:v>
      </x:c>
    </x:row>
    <x:row r="106" ht="19" customHeight="1">
      <x:c r="A106" s="7" t="str">
        <x:v>169-4883 / 259-0815 / 295-9426 / 153-9426 / 10r3805 seal kit</x:v>
      </x:c>
      <x:c r="B106" s="8" t="n">
        <x:v>0</x:v>
      </x:c>
      <x:c r="C106" s="9" t="n">
        <x:v>0</x:v>
      </x:c>
      <x:c r="D106" s="10" t="n">
        <x:v>0</x:v>
      </x:c>
      <x:c r="E106" s="8" t="n">
        <x:v>0</x:v>
      </x:c>
      <x:c r="F106" s="11" t="n">
        <x:v>0</x:v>
      </x:c>
      <x:c r="G106" s="7" t="str">
        <x:v>Commercial</x:v>
      </x:c>
      <x:c r="H106" s="7" t="str">
        <x:v>Repair Kits &amp; Service Parts</x:v>
      </x:c>
      <x:c r="I106" s="7" t="n">
        <x:v>5</x:v>
      </x:c>
      <x:c r="J106" s="7" t="str">
        <x:v>/models/cat-169-4883-259-0815-295-9426-153-9426-10r3805/</x:v>
      </x:c>
      <x:c r="K106" s="7" t="str">
        <x:v>Covered</x:v>
      </x:c>
      <x:c r="L106" s="7" t="str">
        <x:v>Optimize existing page</x:v>
      </x:c>
      <x:c r="M106" s="7" t="str">
        <x:v>Model record</x:v>
      </x:c>
      <x:c r="N106" s="7" t="n">
        <x:v>5</x:v>
      </x:c>
      <x:c r="O106" s="7" t="n">
        <x:f>IF(B106&gt;=1000,5,IF(B106&gt;=300,4,IF(B106&gt;=100,3,IF(B106&gt;=30,2,IF(B106&gt;=10,1,0)))))</x:f>
        <x:v>0</x:v>
      </x:c>
      <x:c r="P106" s="7" t="n">
        <x:f>IF(C106&gt;=5,4,IF(C106&gt;=2,3,IF(C106&gt;=1,2,IF(C106&gt;0,1,0))))</x:f>
        <x:v>0</x:v>
      </x:c>
      <x:c r="Q106" s="7" t="n">
        <x:f>N106*2+O106+P106+IF(F106&gt;=0.2,1,0)+IF(K106="Gap",2,0)-IF(I106&lt;=2,5,0)</x:f>
        <x:v>10</x:v>
      </x:c>
      <x:c r="R106" s="7" t="str">
        <x:f>IF(I106&lt;=2,"D",IF(Q106&gt;=15,"A",IF(Q106&gt;=11,"B",IF(Q106&gt;=7,"C","D"))))</x:f>
        <x:v>C</x:v>
      </x:c>
      <x:c r="S106" s="12" t="n">
        <x:f>B106*'Dashboard'!$B$11</x:f>
        <x:v>0</x:v>
      </x:c>
      <x:c r="T106" s="10" t="n">
        <x:f>S106*'Dashboard'!$D$11</x:f>
        <x:v>0</x:v>
      </x:c>
      <x:c r="U106" s="7" t="str">
        <x:v>Low-volume commercial long tail; retain only when real supply evidence is available.</x:v>
      </x:c>
    </x:row>
    <x:row r="107" ht="19" customHeight="1">
      <x:c r="A107" s="7" t="str">
        <x:v>169-4883 / 259-0815 / 295-9426 / 153-9426 / 10r3805 supplier</x:v>
      </x:c>
      <x:c r="B107" s="8" t="n">
        <x:v>0</x:v>
      </x:c>
      <x:c r="C107" s="9" t="n">
        <x:v>0</x:v>
      </x:c>
      <x:c r="D107" s="10" t="n">
        <x:v>0</x:v>
      </x:c>
      <x:c r="E107" s="8" t="n">
        <x:v>0</x:v>
      </x:c>
      <x:c r="F107" s="11" t="n">
        <x:v>0</x:v>
      </x:c>
      <x:c r="G107" s="7" t="str">
        <x:v>Transactional</x:v>
      </x:c>
      <x:c r="H107" s="7" t="str">
        <x:v>Technical / Other</x:v>
      </x:c>
      <x:c r="I107" s="7" t="n">
        <x:v>5</x:v>
      </x:c>
      <x:c r="J107" s="7" t="str">
        <x:v>/models/cat-169-4883-259-0815-295-9426-153-9426-10r3805/</x:v>
      </x:c>
      <x:c r="K107" s="7" t="str">
        <x:v>Covered</x:v>
      </x:c>
      <x:c r="L107" s="7" t="str">
        <x:v>Optimize existing page</x:v>
      </x:c>
      <x:c r="M107" s="7" t="str">
        <x:v>Model record</x:v>
      </x:c>
      <x:c r="N107" s="7" t="n">
        <x:v>5</x:v>
      </x:c>
      <x:c r="O107" s="7" t="n">
        <x:f>IF(B107&gt;=1000,5,IF(B107&gt;=300,4,IF(B107&gt;=100,3,IF(B107&gt;=30,2,IF(B107&gt;=10,1,0)))))</x:f>
        <x:v>0</x:v>
      </x:c>
      <x:c r="P107" s="7" t="n">
        <x:f>IF(C107&gt;=5,4,IF(C107&gt;=2,3,IF(C107&gt;=1,2,IF(C107&gt;0,1,0))))</x:f>
        <x:v>0</x:v>
      </x:c>
      <x:c r="Q107" s="7" t="n">
        <x:f>N107*2+O107+P107+IF(F107&gt;=0.2,1,0)+IF(K107="Gap",2,0)-IF(I107&lt;=2,5,0)</x:f>
        <x:v>10</x:v>
      </x:c>
      <x:c r="R107" s="7" t="str">
        <x:f>IF(I107&lt;=2,"D",IF(Q107&gt;=15,"A",IF(Q107&gt;=11,"B",IF(Q107&gt;=7,"C","D"))))</x:f>
        <x:v>C</x:v>
      </x:c>
      <x:c r="S107" s="12" t="n">
        <x:f>B107*'Dashboard'!$B$11</x:f>
        <x:v>0</x:v>
      </x:c>
      <x:c r="T107" s="10" t="n">
        <x:f>S107*'Dashboard'!$D$11</x:f>
        <x:v>0</x:v>
      </x:c>
      <x:c r="U107" s="7" t="str">
        <x:v>Low-volume commercial long tail; retain only when real supply evidence is available.</x:v>
      </x:c>
    </x:row>
    <x:row r="108" ht="19" customHeight="1">
      <x:c r="A108" s="7" t="str">
        <x:v>4we 10 e5x/eg24n9k4/m</x:v>
      </x:c>
      <x:c r="B108" s="8" t="n">
        <x:v>0</x:v>
      </x:c>
      <x:c r="C108" s="9" t="n">
        <x:v>0</x:v>
      </x:c>
      <x:c r="D108" s="10" t="n">
        <x:v>0</x:v>
      </x:c>
      <x:c r="E108" s="8" t="n">
        <x:v>0</x:v>
      </x:c>
      <x:c r="F108" s="11" t="n">
        <x:v>0</x:v>
      </x:c>
      <x:c r="G108" s="7" t="str">
        <x:v>Product research</x:v>
      </x:c>
      <x:c r="H108" s="7" t="str">
        <x:v>Technical / Other</x:v>
      </x:c>
      <x:c r="I108" s="7" t="n">
        <x:v>5</x:v>
      </x:c>
      <x:c r="J108" s="7" t="str">
        <x:v>/models/bosch-rexroth-4we10-e5x-eg24n9k4-m/</x:v>
      </x:c>
      <x:c r="K108" s="7" t="str">
        <x:v>Covered</x:v>
      </x:c>
      <x:c r="L108" s="7" t="str">
        <x:v>Optimize existing page</x:v>
      </x:c>
      <x:c r="M108" s="7" t="str">
        <x:v>Model record</x:v>
      </x:c>
      <x:c r="N108" s="7" t="n">
        <x:v>5</x:v>
      </x:c>
      <x:c r="O108" s="7" t="n">
        <x:f>IF(B108&gt;=1000,5,IF(B108&gt;=300,4,IF(B108&gt;=100,3,IF(B108&gt;=30,2,IF(B108&gt;=10,1,0)))))</x:f>
        <x:v>0</x:v>
      </x:c>
      <x:c r="P108" s="7" t="n">
        <x:f>IF(C108&gt;=5,4,IF(C108&gt;=2,3,IF(C108&gt;=1,2,IF(C108&gt;0,1,0))))</x:f>
        <x:v>0</x:v>
      </x:c>
      <x:c r="Q108" s="7" t="n">
        <x:f>N108*2+O108+P108+IF(F108&gt;=0.2,1,0)+IF(K108="Gap",2,0)-IF(I108&lt;=2,5,0)</x:f>
        <x:v>10</x:v>
      </x:c>
      <x:c r="R108" s="7" t="str">
        <x:f>IF(I108&lt;=2,"D",IF(Q108&gt;=15,"A",IF(Q108&gt;=11,"B",IF(Q108&gt;=7,"C","D"))))</x:f>
        <x:v>C</x:v>
      </x:c>
      <x:c r="S108" s="12" t="n">
        <x:f>B108*'Dashboard'!$B$11</x:f>
        <x:v>0</x:v>
      </x:c>
      <x:c r="T108" s="10" t="n">
        <x:f>S108*'Dashboard'!$D$11</x:f>
        <x:v>0</x:v>
      </x:c>
      <x:c r="U108" s="7" t="str">
        <x:v>Low-volume commercial long tail; retain only when real supply evidence is available.</x:v>
      </x:c>
    </x:row>
    <x:row r="109" ht="19" customHeight="1">
      <x:c r="A109" s="7" t="str">
        <x:v>4we 10 e5x/eg24n9k4/m replacement</x:v>
      </x:c>
      <x:c r="B109" s="8" t="n">
        <x:v>0</x:v>
      </x:c>
      <x:c r="C109" s="9" t="n">
        <x:v>0</x:v>
      </x:c>
      <x:c r="D109" s="10" t="n">
        <x:v>0</x:v>
      </x:c>
      <x:c r="E109" s="8" t="n">
        <x:v>0</x:v>
      </x:c>
      <x:c r="F109" s="11" t="n">
        <x:v>0</x:v>
      </x:c>
      <x:c r="G109" s="7" t="str">
        <x:v>Commercial</x:v>
      </x:c>
      <x:c r="H109" s="7" t="str">
        <x:v>Replacement &amp; Cross-reference</x:v>
      </x:c>
      <x:c r="I109" s="7" t="n">
        <x:v>5</x:v>
      </x:c>
      <x:c r="J109" s="7" t="str">
        <x:v>/models/bosch-rexroth-4we10-e5x-eg24n9k4-m/</x:v>
      </x:c>
      <x:c r="K109" s="7" t="str">
        <x:v>Covered</x:v>
      </x:c>
      <x:c r="L109" s="7" t="str">
        <x:v>Optimize existing page</x:v>
      </x:c>
      <x:c r="M109" s="7" t="str">
        <x:v>Model record</x:v>
      </x:c>
      <x:c r="N109" s="7" t="n">
        <x:v>5</x:v>
      </x:c>
      <x:c r="O109" s="7" t="n">
        <x:f>IF(B109&gt;=1000,5,IF(B109&gt;=300,4,IF(B109&gt;=100,3,IF(B109&gt;=30,2,IF(B109&gt;=10,1,0)))))</x:f>
        <x:v>0</x:v>
      </x:c>
      <x:c r="P109" s="7" t="n">
        <x:f>IF(C109&gt;=5,4,IF(C109&gt;=2,3,IF(C109&gt;=1,2,IF(C109&gt;0,1,0))))</x:f>
        <x:v>0</x:v>
      </x:c>
      <x:c r="Q109" s="7" t="n">
        <x:f>N109*2+O109+P109+IF(F109&gt;=0.2,1,0)+IF(K109="Gap",2,0)-IF(I109&lt;=2,5,0)</x:f>
        <x:v>10</x:v>
      </x:c>
      <x:c r="R109" s="7" t="str">
        <x:f>IF(I109&lt;=2,"D",IF(Q109&gt;=15,"A",IF(Q109&gt;=11,"B",IF(Q109&gt;=7,"C","D"))))</x:f>
        <x:v>C</x:v>
      </x:c>
      <x:c r="S109" s="12" t="n">
        <x:f>B109*'Dashboard'!$B$11</x:f>
        <x:v>0</x:v>
      </x:c>
      <x:c r="T109" s="10" t="n">
        <x:f>S109*'Dashboard'!$D$11</x:f>
        <x:v>0</x:v>
      </x:c>
      <x:c r="U109" s="7" t="str">
        <x:v>Low-volume commercial long tail; retain only when real supply evidence is available.</x:v>
      </x:c>
    </x:row>
    <x:row r="110" ht="19" customHeight="1">
      <x:c r="A110" s="7" t="str">
        <x:v>4we 10 e5x/eg24n9k4/m seal kit</x:v>
      </x:c>
      <x:c r="B110" s="8" t="n">
        <x:v>0</x:v>
      </x:c>
      <x:c r="C110" s="9" t="n">
        <x:v>0</x:v>
      </x:c>
      <x:c r="D110" s="10" t="n">
        <x:v>0</x:v>
      </x:c>
      <x:c r="E110" s="8" t="n">
        <x:v>0</x:v>
      </x:c>
      <x:c r="F110" s="11" t="n">
        <x:v>0</x:v>
      </x:c>
      <x:c r="G110" s="7" t="str">
        <x:v>Commercial</x:v>
      </x:c>
      <x:c r="H110" s="7" t="str">
        <x:v>Repair Kits &amp; Service Parts</x:v>
      </x:c>
      <x:c r="I110" s="7" t="n">
        <x:v>5</x:v>
      </x:c>
      <x:c r="J110" s="7" t="str">
        <x:v>/models/bosch-rexroth-4we10-e5x-eg24n9k4-m/</x:v>
      </x:c>
      <x:c r="K110" s="7" t="str">
        <x:v>Covered</x:v>
      </x:c>
      <x:c r="L110" s="7" t="str">
        <x:v>Optimize existing page</x:v>
      </x:c>
      <x:c r="M110" s="7" t="str">
        <x:v>Model record</x:v>
      </x:c>
      <x:c r="N110" s="7" t="n">
        <x:v>5</x:v>
      </x:c>
      <x:c r="O110" s="7" t="n">
        <x:f>IF(B110&gt;=1000,5,IF(B110&gt;=300,4,IF(B110&gt;=100,3,IF(B110&gt;=30,2,IF(B110&gt;=10,1,0)))))</x:f>
        <x:v>0</x:v>
      </x:c>
      <x:c r="P110" s="7" t="n">
        <x:f>IF(C110&gt;=5,4,IF(C110&gt;=2,3,IF(C110&gt;=1,2,IF(C110&gt;0,1,0))))</x:f>
        <x:v>0</x:v>
      </x:c>
      <x:c r="Q110" s="7" t="n">
        <x:f>N110*2+O110+P110+IF(F110&gt;=0.2,1,0)+IF(K110="Gap",2,0)-IF(I110&lt;=2,5,0)</x:f>
        <x:v>10</x:v>
      </x:c>
      <x:c r="R110" s="7" t="str">
        <x:f>IF(I110&lt;=2,"D",IF(Q110&gt;=15,"A",IF(Q110&gt;=11,"B",IF(Q110&gt;=7,"C","D"))))</x:f>
        <x:v>C</x:v>
      </x:c>
      <x:c r="S110" s="12" t="n">
        <x:f>B110*'Dashboard'!$B$11</x:f>
        <x:v>0</x:v>
      </x:c>
      <x:c r="T110" s="10" t="n">
        <x:f>S110*'Dashboard'!$D$11</x:f>
        <x:v>0</x:v>
      </x:c>
      <x:c r="U110" s="7" t="str">
        <x:v>Low-volume commercial long tail; retain only when real supply evidence is available.</x:v>
      </x:c>
    </x:row>
    <x:row r="111" ht="19" customHeight="1">
      <x:c r="A111" s="7" t="str">
        <x:v>4we 10 e5x/eg24n9k4/m supplier</x:v>
      </x:c>
      <x:c r="B111" s="8" t="n">
        <x:v>0</x:v>
      </x:c>
      <x:c r="C111" s="9" t="n">
        <x:v>0</x:v>
      </x:c>
      <x:c r="D111" s="10" t="n">
        <x:v>0</x:v>
      </x:c>
      <x:c r="E111" s="8" t="n">
        <x:v>0</x:v>
      </x:c>
      <x:c r="F111" s="11" t="n">
        <x:v>0</x:v>
      </x:c>
      <x:c r="G111" s="7" t="str">
        <x:v>Transactional</x:v>
      </x:c>
      <x:c r="H111" s="7" t="str">
        <x:v>Technical / Other</x:v>
      </x:c>
      <x:c r="I111" s="7" t="n">
        <x:v>5</x:v>
      </x:c>
      <x:c r="J111" s="7" t="str">
        <x:v>/models/bosch-rexroth-4we10-e5x-eg24n9k4-m/</x:v>
      </x:c>
      <x:c r="K111" s="7" t="str">
        <x:v>Covered</x:v>
      </x:c>
      <x:c r="L111" s="7" t="str">
        <x:v>Optimize existing page</x:v>
      </x:c>
      <x:c r="M111" s="7" t="str">
        <x:v>Model record</x:v>
      </x:c>
      <x:c r="N111" s="7" t="n">
        <x:v>5</x:v>
      </x:c>
      <x:c r="O111" s="7" t="n">
        <x:f>IF(B111&gt;=1000,5,IF(B111&gt;=300,4,IF(B111&gt;=100,3,IF(B111&gt;=30,2,IF(B111&gt;=10,1,0)))))</x:f>
        <x:v>0</x:v>
      </x:c>
      <x:c r="P111" s="7" t="n">
        <x:f>IF(C111&gt;=5,4,IF(C111&gt;=2,3,IF(C111&gt;=1,2,IF(C111&gt;0,1,0))))</x:f>
        <x:v>0</x:v>
      </x:c>
      <x:c r="Q111" s="7" t="n">
        <x:f>N111*2+O111+P111+IF(F111&gt;=0.2,1,0)+IF(K111="Gap",2,0)-IF(I111&lt;=2,5,0)</x:f>
        <x:v>10</x:v>
      </x:c>
      <x:c r="R111" s="7" t="str">
        <x:f>IF(I111&lt;=2,"D",IF(Q111&gt;=15,"A",IF(Q111&gt;=11,"B",IF(Q111&gt;=7,"C","D"))))</x:f>
        <x:v>C</x:v>
      </x:c>
      <x:c r="S111" s="12" t="n">
        <x:f>B111*'Dashboard'!$B$11</x:f>
        <x:v>0</x:v>
      </x:c>
      <x:c r="T111" s="10" t="n">
        <x:f>S111*'Dashboard'!$D$11</x:f>
        <x:v>0</x:v>
      </x:c>
      <x:c r="U111" s="7" t="str">
        <x:v>Low-volume commercial long tail; retain only when real supply evidence is available.</x:v>
      </x:c>
    </x:row>
    <x:row r="112" ht="19" customHeight="1">
      <x:c r="A112" s="7" t="str">
        <x:v>4we 6 d6x/eg24n9k4</x:v>
      </x:c>
      <x:c r="B112" s="8" t="n">
        <x:v>0</x:v>
      </x:c>
      <x:c r="C112" s="9" t="n">
        <x:v>0</x:v>
      </x:c>
      <x:c r="D112" s="10" t="n">
        <x:v>0</x:v>
      </x:c>
      <x:c r="E112" s="8" t="n">
        <x:v>0</x:v>
      </x:c>
      <x:c r="F112" s="11" t="n">
        <x:v>0</x:v>
      </x:c>
      <x:c r="G112" s="7" t="str">
        <x:v>Product research</x:v>
      </x:c>
      <x:c r="H112" s="7" t="str">
        <x:v>Technical / Other</x:v>
      </x:c>
      <x:c r="I112" s="7" t="n">
        <x:v>5</x:v>
      </x:c>
      <x:c r="J112" s="7" t="str">
        <x:v>/models/bosch-rexroth-4we6-d6x-eg24n9k4/</x:v>
      </x:c>
      <x:c r="K112" s="7" t="str">
        <x:v>Covered</x:v>
      </x:c>
      <x:c r="L112" s="7" t="str">
        <x:v>Optimize existing page</x:v>
      </x:c>
      <x:c r="M112" s="7" t="str">
        <x:v>Model record</x:v>
      </x:c>
      <x:c r="N112" s="7" t="n">
        <x:v>5</x:v>
      </x:c>
      <x:c r="O112" s="7" t="n">
        <x:f>IF(B112&gt;=1000,5,IF(B112&gt;=300,4,IF(B112&gt;=100,3,IF(B112&gt;=30,2,IF(B112&gt;=10,1,0)))))</x:f>
        <x:v>0</x:v>
      </x:c>
      <x:c r="P112" s="7" t="n">
        <x:f>IF(C112&gt;=5,4,IF(C112&gt;=2,3,IF(C112&gt;=1,2,IF(C112&gt;0,1,0))))</x:f>
        <x:v>0</x:v>
      </x:c>
      <x:c r="Q112" s="7" t="n">
        <x:f>N112*2+O112+P112+IF(F112&gt;=0.2,1,0)+IF(K112="Gap",2,0)-IF(I112&lt;=2,5,0)</x:f>
        <x:v>10</x:v>
      </x:c>
      <x:c r="R112" s="7" t="str">
        <x:f>IF(I112&lt;=2,"D",IF(Q112&gt;=15,"A",IF(Q112&gt;=11,"B",IF(Q112&gt;=7,"C","D"))))</x:f>
        <x:v>C</x:v>
      </x:c>
      <x:c r="S112" s="12" t="n">
        <x:f>B112*'Dashboard'!$B$11</x:f>
        <x:v>0</x:v>
      </x:c>
      <x:c r="T112" s="10" t="n">
        <x:f>S112*'Dashboard'!$D$11</x:f>
        <x:v>0</x:v>
      </x:c>
      <x:c r="U112" s="7" t="str">
        <x:v>Low-volume commercial long tail; retain only when real supply evidence is available.</x:v>
      </x:c>
    </x:row>
    <x:row r="113" ht="19" customHeight="1">
      <x:c r="A113" s="7" t="str">
        <x:v>4we 6 d6x/eg24n9k4 replacement</x:v>
      </x:c>
      <x:c r="B113" s="8" t="n">
        <x:v>0</x:v>
      </x:c>
      <x:c r="C113" s="9" t="n">
        <x:v>0</x:v>
      </x:c>
      <x:c r="D113" s="10" t="n">
        <x:v>0</x:v>
      </x:c>
      <x:c r="E113" s="8" t="n">
        <x:v>0</x:v>
      </x:c>
      <x:c r="F113" s="11" t="n">
        <x:v>0</x:v>
      </x:c>
      <x:c r="G113" s="7" t="str">
        <x:v>Commercial</x:v>
      </x:c>
      <x:c r="H113" s="7" t="str">
        <x:v>Replacement &amp; Cross-reference</x:v>
      </x:c>
      <x:c r="I113" s="7" t="n">
        <x:v>5</x:v>
      </x:c>
      <x:c r="J113" s="7" t="str">
        <x:v>/models/bosch-rexroth-4we6-d6x-eg24n9k4/</x:v>
      </x:c>
      <x:c r="K113" s="7" t="str">
        <x:v>Covered</x:v>
      </x:c>
      <x:c r="L113" s="7" t="str">
        <x:v>Optimize existing page</x:v>
      </x:c>
      <x:c r="M113" s="7" t="str">
        <x:v>Model record</x:v>
      </x:c>
      <x:c r="N113" s="7" t="n">
        <x:v>5</x:v>
      </x:c>
      <x:c r="O113" s="7" t="n">
        <x:f>IF(B113&gt;=1000,5,IF(B113&gt;=300,4,IF(B113&gt;=100,3,IF(B113&gt;=30,2,IF(B113&gt;=10,1,0)))))</x:f>
        <x:v>0</x:v>
      </x:c>
      <x:c r="P113" s="7" t="n">
        <x:f>IF(C113&gt;=5,4,IF(C113&gt;=2,3,IF(C113&gt;=1,2,IF(C113&gt;0,1,0))))</x:f>
        <x:v>0</x:v>
      </x:c>
      <x:c r="Q113" s="7" t="n">
        <x:f>N113*2+O113+P113+IF(F113&gt;=0.2,1,0)+IF(K113="Gap",2,0)-IF(I113&lt;=2,5,0)</x:f>
        <x:v>10</x:v>
      </x:c>
      <x:c r="R113" s="7" t="str">
        <x:f>IF(I113&lt;=2,"D",IF(Q113&gt;=15,"A",IF(Q113&gt;=11,"B",IF(Q113&gt;=7,"C","D"))))</x:f>
        <x:v>C</x:v>
      </x:c>
      <x:c r="S113" s="12" t="n">
        <x:f>B113*'Dashboard'!$B$11</x:f>
        <x:v>0</x:v>
      </x:c>
      <x:c r="T113" s="10" t="n">
        <x:f>S113*'Dashboard'!$D$11</x:f>
        <x:v>0</x:v>
      </x:c>
      <x:c r="U113" s="7" t="str">
        <x:v>Low-volume commercial long tail; retain only when real supply evidence is available.</x:v>
      </x:c>
    </x:row>
    <x:row r="114" ht="19" customHeight="1">
      <x:c r="A114" s="7" t="str">
        <x:v>4we 6 d6x/eg24n9k4 seal kit</x:v>
      </x:c>
      <x:c r="B114" s="8" t="n">
        <x:v>0</x:v>
      </x:c>
      <x:c r="C114" s="9" t="n">
        <x:v>0</x:v>
      </x:c>
      <x:c r="D114" s="10" t="n">
        <x:v>0</x:v>
      </x:c>
      <x:c r="E114" s="8" t="n">
        <x:v>0</x:v>
      </x:c>
      <x:c r="F114" s="11" t="n">
        <x:v>0</x:v>
      </x:c>
      <x:c r="G114" s="7" t="str">
        <x:v>Commercial</x:v>
      </x:c>
      <x:c r="H114" s="7" t="str">
        <x:v>Repair Kits &amp; Service Parts</x:v>
      </x:c>
      <x:c r="I114" s="7" t="n">
        <x:v>5</x:v>
      </x:c>
      <x:c r="J114" s="7" t="str">
        <x:v>/models/bosch-rexroth-4we6-d6x-eg24n9k4/</x:v>
      </x:c>
      <x:c r="K114" s="7" t="str">
        <x:v>Covered</x:v>
      </x:c>
      <x:c r="L114" s="7" t="str">
        <x:v>Optimize existing page</x:v>
      </x:c>
      <x:c r="M114" s="7" t="str">
        <x:v>Model record</x:v>
      </x:c>
      <x:c r="N114" s="7" t="n">
        <x:v>5</x:v>
      </x:c>
      <x:c r="O114" s="7" t="n">
        <x:f>IF(B114&gt;=1000,5,IF(B114&gt;=300,4,IF(B114&gt;=100,3,IF(B114&gt;=30,2,IF(B114&gt;=10,1,0)))))</x:f>
        <x:v>0</x:v>
      </x:c>
      <x:c r="P114" s="7" t="n">
        <x:f>IF(C114&gt;=5,4,IF(C114&gt;=2,3,IF(C114&gt;=1,2,IF(C114&gt;0,1,0))))</x:f>
        <x:v>0</x:v>
      </x:c>
      <x:c r="Q114" s="7" t="n">
        <x:f>N114*2+O114+P114+IF(F114&gt;=0.2,1,0)+IF(K114="Gap",2,0)-IF(I114&lt;=2,5,0)</x:f>
        <x:v>10</x:v>
      </x:c>
      <x:c r="R114" s="7" t="str">
        <x:f>IF(I114&lt;=2,"D",IF(Q114&gt;=15,"A",IF(Q114&gt;=11,"B",IF(Q114&gt;=7,"C","D"))))</x:f>
        <x:v>C</x:v>
      </x:c>
      <x:c r="S114" s="12" t="n">
        <x:f>B114*'Dashboard'!$B$11</x:f>
        <x:v>0</x:v>
      </x:c>
      <x:c r="T114" s="10" t="n">
        <x:f>S114*'Dashboard'!$D$11</x:f>
        <x:v>0</x:v>
      </x:c>
      <x:c r="U114" s="7" t="str">
        <x:v>Low-volume commercial long tail; retain only when real supply evidence is available.</x:v>
      </x:c>
    </x:row>
    <x:row r="115" ht="19" customHeight="1">
      <x:c r="A115" s="7" t="str">
        <x:v>4we 6 d6x/eg24n9k4 supplier</x:v>
      </x:c>
      <x:c r="B115" s="8" t="n">
        <x:v>0</x:v>
      </x:c>
      <x:c r="C115" s="9" t="n">
        <x:v>0</x:v>
      </x:c>
      <x:c r="D115" s="10" t="n">
        <x:v>0</x:v>
      </x:c>
      <x:c r="E115" s="8" t="n">
        <x:v>0</x:v>
      </x:c>
      <x:c r="F115" s="11" t="n">
        <x:v>0</x:v>
      </x:c>
      <x:c r="G115" s="7" t="str">
        <x:v>Transactional</x:v>
      </x:c>
      <x:c r="H115" s="7" t="str">
        <x:v>Technical / Other</x:v>
      </x:c>
      <x:c r="I115" s="7" t="n">
        <x:v>5</x:v>
      </x:c>
      <x:c r="J115" s="7" t="str">
        <x:v>/models/bosch-rexroth-4we6-d6x-eg24n9k4/</x:v>
      </x:c>
      <x:c r="K115" s="7" t="str">
        <x:v>Covered</x:v>
      </x:c>
      <x:c r="L115" s="7" t="str">
        <x:v>Optimize existing page</x:v>
      </x:c>
      <x:c r="M115" s="7" t="str">
        <x:v>Model record</x:v>
      </x:c>
      <x:c r="N115" s="7" t="n">
        <x:v>5</x:v>
      </x:c>
      <x:c r="O115" s="7" t="n">
        <x:f>IF(B115&gt;=1000,5,IF(B115&gt;=300,4,IF(B115&gt;=100,3,IF(B115&gt;=30,2,IF(B115&gt;=10,1,0)))))</x:f>
        <x:v>0</x:v>
      </x:c>
      <x:c r="P115" s="7" t="n">
        <x:f>IF(C115&gt;=5,4,IF(C115&gt;=2,3,IF(C115&gt;=1,2,IF(C115&gt;0,1,0))))</x:f>
        <x:v>0</x:v>
      </x:c>
      <x:c r="Q115" s="7" t="n">
        <x:f>N115*2+O115+P115+IF(F115&gt;=0.2,1,0)+IF(K115="Gap",2,0)-IF(I115&lt;=2,5,0)</x:f>
        <x:v>10</x:v>
      </x:c>
      <x:c r="R115" s="7" t="str">
        <x:f>IF(I115&lt;=2,"D",IF(Q115&gt;=15,"A",IF(Q115&gt;=11,"B",IF(Q115&gt;=7,"C","D"))))</x:f>
        <x:v>C</x:v>
      </x:c>
      <x:c r="S115" s="12" t="n">
        <x:f>B115*'Dashboard'!$B$11</x:f>
        <x:v>0</x:v>
      </x:c>
      <x:c r="T115" s="10" t="n">
        <x:f>S115*'Dashboard'!$D$11</x:f>
        <x:v>0</x:v>
      </x:c>
      <x:c r="U115" s="7" t="str">
        <x:v>Low-volume commercial long tail; retain only when real supply evidence is available.</x:v>
      </x:c>
    </x:row>
    <x:row r="116" ht="19" customHeight="1">
      <x:c r="A116" s="7" t="str">
        <x:v>4we10 equivalent</x:v>
      </x:c>
      <x:c r="B116" s="8" t="n">
        <x:v>0</x:v>
      </x:c>
      <x:c r="C116" s="9" t="n">
        <x:v>0</x:v>
      </x:c>
      <x:c r="D116" s="10" t="n">
        <x:v>0</x:v>
      </x:c>
      <x:c r="E116" s="8" t="n">
        <x:v>0</x:v>
      </x:c>
      <x:c r="F116" s="11" t="n">
        <x:v>0</x:v>
      </x:c>
      <x:c r="G116" s="7" t="str">
        <x:v>Commercial</x:v>
      </x:c>
      <x:c r="H116" s="7" t="str">
        <x:v>Replacement &amp; Cross-reference</x:v>
      </x:c>
      <x:c r="I116" s="7" t="n">
        <x:v>5</x:v>
      </x:c>
      <x:c r="J116" s="7" t="str">
        <x:v>/models/bosch-rexroth-4we10-e5x-eg24n9k4-m/</x:v>
      </x:c>
      <x:c r="K116" s="7" t="str">
        <x:v>Covered</x:v>
      </x:c>
      <x:c r="L116" s="7" t="str">
        <x:v>Optimize existing page</x:v>
      </x:c>
      <x:c r="M116" s="7" t="str">
        <x:v>Model record</x:v>
      </x:c>
      <x:c r="N116" s="7" t="n">
        <x:v>5</x:v>
      </x:c>
      <x:c r="O116" s="7" t="n">
        <x:f>IF(B116&gt;=1000,5,IF(B116&gt;=300,4,IF(B116&gt;=100,3,IF(B116&gt;=30,2,IF(B116&gt;=10,1,0)))))</x:f>
        <x:v>0</x:v>
      </x:c>
      <x:c r="P116" s="7" t="n">
        <x:f>IF(C116&gt;=5,4,IF(C116&gt;=2,3,IF(C116&gt;=1,2,IF(C116&gt;0,1,0))))</x:f>
        <x:v>0</x:v>
      </x:c>
      <x:c r="Q116" s="7" t="n">
        <x:f>N116*2+O116+P116+IF(F116&gt;=0.2,1,0)+IF(K116="Gap",2,0)-IF(I116&lt;=2,5,0)</x:f>
        <x:v>10</x:v>
      </x:c>
      <x:c r="R116" s="7" t="str">
        <x:f>IF(I116&lt;=2,"D",IF(Q116&gt;=15,"A",IF(Q116&gt;=11,"B",IF(Q116&gt;=7,"C","D"))))</x:f>
        <x:v>C</x:v>
      </x:c>
      <x:c r="S116" s="12" t="n">
        <x:f>B116*'Dashboard'!$B$11</x:f>
        <x:v>0</x:v>
      </x:c>
      <x:c r="T116" s="10" t="n">
        <x:f>S116*'Dashboard'!$D$11</x:f>
        <x:v>0</x:v>
      </x:c>
      <x:c r="U116" s="7" t="str">
        <x:v>Low-volume commercial long tail; retain only when real supply evidence is available.</x:v>
      </x:c>
    </x:row>
    <x:row r="117" ht="19" customHeight="1">
      <x:c r="A117" s="7" t="str">
        <x:v>4we10 parts</x:v>
      </x:c>
      <x:c r="B117" s="8" t="n">
        <x:v>0</x:v>
      </x:c>
      <x:c r="C117" s="9" t="n">
        <x:v>0</x:v>
      </x:c>
      <x:c r="D117" s="10" t="n">
        <x:v>0</x:v>
      </x:c>
      <x:c r="E117" s="8" t="n">
        <x:v>0</x:v>
      </x:c>
      <x:c r="F117" s="11" t="n">
        <x:v>0</x:v>
      </x:c>
      <x:c r="G117" s="7" t="str">
        <x:v>Commercial</x:v>
      </x:c>
      <x:c r="H117" s="7" t="str">
        <x:v>Hydraulic Valves</x:v>
      </x:c>
      <x:c r="I117" s="7" t="n">
        <x:v>5</x:v>
      </x:c>
      <x:c r="J117" s="7" t="str">
        <x:v>/models/bosch-rexroth-4we10-e5x-eg24n9k4-m/</x:v>
      </x:c>
      <x:c r="K117" s="7" t="str">
        <x:v>Covered</x:v>
      </x:c>
      <x:c r="L117" s="7" t="str">
        <x:v>Optimize existing page</x:v>
      </x:c>
      <x:c r="M117" s="7" t="str">
        <x:v>Model record</x:v>
      </x:c>
      <x:c r="N117" s="7" t="n">
        <x:v>5</x:v>
      </x:c>
      <x:c r="O117" s="7" t="n">
        <x:f>IF(B117&gt;=1000,5,IF(B117&gt;=300,4,IF(B117&gt;=100,3,IF(B117&gt;=30,2,IF(B117&gt;=10,1,0)))))</x:f>
        <x:v>0</x:v>
      </x:c>
      <x:c r="P117" s="7" t="n">
        <x:f>IF(C117&gt;=5,4,IF(C117&gt;=2,3,IF(C117&gt;=1,2,IF(C117&gt;0,1,0))))</x:f>
        <x:v>0</x:v>
      </x:c>
      <x:c r="Q117" s="7" t="n">
        <x:f>N117*2+O117+P117+IF(F117&gt;=0.2,1,0)+IF(K117="Gap",2,0)-IF(I117&lt;=2,5,0)</x:f>
        <x:v>10</x:v>
      </x:c>
      <x:c r="R117" s="7" t="str">
        <x:f>IF(I117&lt;=2,"D",IF(Q117&gt;=15,"A",IF(Q117&gt;=11,"B",IF(Q117&gt;=7,"C","D"))))</x:f>
        <x:v>C</x:v>
      </x:c>
      <x:c r="S117" s="12" t="n">
        <x:f>B117*'Dashboard'!$B$11</x:f>
        <x:v>0</x:v>
      </x:c>
      <x:c r="T117" s="10" t="n">
        <x:f>S117*'Dashboard'!$D$11</x:f>
        <x:v>0</x:v>
      </x:c>
      <x:c r="U117" s="7" t="str">
        <x:v>Low-volume commercial long tail; retain only when real supply evidence is available.</x:v>
      </x:c>
    </x:row>
    <x:row r="118" ht="19" customHeight="1">
      <x:c r="A118" s="7" t="str">
        <x:v>4we10 replacement</x:v>
      </x:c>
      <x:c r="B118" s="8" t="n">
        <x:v>0</x:v>
      </x:c>
      <x:c r="C118" s="9" t="n">
        <x:v>0</x:v>
      </x:c>
      <x:c r="D118" s="10" t="n">
        <x:v>0</x:v>
      </x:c>
      <x:c r="E118" s="8" t="n">
        <x:v>0</x:v>
      </x:c>
      <x:c r="F118" s="11" t="n">
        <x:v>0</x:v>
      </x:c>
      <x:c r="G118" s="7" t="str">
        <x:v>Commercial</x:v>
      </x:c>
      <x:c r="H118" s="7" t="str">
        <x:v>Replacement &amp; Cross-reference</x:v>
      </x:c>
      <x:c r="I118" s="7" t="n">
        <x:v>5</x:v>
      </x:c>
      <x:c r="J118" s="7" t="str">
        <x:v>/models/bosch-rexroth-4we10-e5x-eg24n9k4-m/</x:v>
      </x:c>
      <x:c r="K118" s="7" t="str">
        <x:v>Covered</x:v>
      </x:c>
      <x:c r="L118" s="7" t="str">
        <x:v>Optimize existing page</x:v>
      </x:c>
      <x:c r="M118" s="7" t="str">
        <x:v>Model record</x:v>
      </x:c>
      <x:c r="N118" s="7" t="n">
        <x:v>5</x:v>
      </x:c>
      <x:c r="O118" s="7" t="n">
        <x:f>IF(B118&gt;=1000,5,IF(B118&gt;=300,4,IF(B118&gt;=100,3,IF(B118&gt;=30,2,IF(B118&gt;=10,1,0)))))</x:f>
        <x:v>0</x:v>
      </x:c>
      <x:c r="P118" s="7" t="n">
        <x:f>IF(C118&gt;=5,4,IF(C118&gt;=2,3,IF(C118&gt;=1,2,IF(C118&gt;0,1,0))))</x:f>
        <x:v>0</x:v>
      </x:c>
      <x:c r="Q118" s="7" t="n">
        <x:f>N118*2+O118+P118+IF(F118&gt;=0.2,1,0)+IF(K118="Gap",2,0)-IF(I118&lt;=2,5,0)</x:f>
        <x:v>10</x:v>
      </x:c>
      <x:c r="R118" s="7" t="str">
        <x:f>IF(I118&lt;=2,"D",IF(Q118&gt;=15,"A",IF(Q118&gt;=11,"B",IF(Q118&gt;=7,"C","D"))))</x:f>
        <x:v>C</x:v>
      </x:c>
      <x:c r="S118" s="12" t="n">
        <x:f>B118*'Dashboard'!$B$11</x:f>
        <x:v>0</x:v>
      </x:c>
      <x:c r="T118" s="10" t="n">
        <x:f>S118*'Dashboard'!$D$11</x:f>
        <x:v>0</x:v>
      </x:c>
      <x:c r="U118" s="7" t="str">
        <x:v>Low-volume commercial long tail; retain only when real supply evidence is available.</x:v>
      </x:c>
    </x:row>
    <x:row r="119" ht="19" customHeight="1">
      <x:c r="A119" s="7" t="str">
        <x:v>4we10 seal kit</x:v>
      </x:c>
      <x:c r="B119" s="8" t="n">
        <x:v>0</x:v>
      </x:c>
      <x:c r="C119" s="9" t="n">
        <x:v>0</x:v>
      </x:c>
      <x:c r="D119" s="10" t="n">
        <x:v>0</x:v>
      </x:c>
      <x:c r="E119" s="8" t="n">
        <x:v>0</x:v>
      </x:c>
      <x:c r="F119" s="11" t="n">
        <x:v>0</x:v>
      </x:c>
      <x:c r="G119" s="7" t="str">
        <x:v>Commercial</x:v>
      </x:c>
      <x:c r="H119" s="7" t="str">
        <x:v>Repair Kits &amp; Service Parts</x:v>
      </x:c>
      <x:c r="I119" s="7" t="n">
        <x:v>5</x:v>
      </x:c>
      <x:c r="J119" s="7" t="str">
        <x:v>/models/bosch-rexroth-4we10-e5x-eg24n9k4-m/</x:v>
      </x:c>
      <x:c r="K119" s="7" t="str">
        <x:v>Covered</x:v>
      </x:c>
      <x:c r="L119" s="7" t="str">
        <x:v>Optimize existing page</x:v>
      </x:c>
      <x:c r="M119" s="7" t="str">
        <x:v>Model record</x:v>
      </x:c>
      <x:c r="N119" s="7" t="n">
        <x:v>5</x:v>
      </x:c>
      <x:c r="O119" s="7" t="n">
        <x:f>IF(B119&gt;=1000,5,IF(B119&gt;=300,4,IF(B119&gt;=100,3,IF(B119&gt;=30,2,IF(B119&gt;=10,1,0)))))</x:f>
        <x:v>0</x:v>
      </x:c>
      <x:c r="P119" s="7" t="n">
        <x:f>IF(C119&gt;=5,4,IF(C119&gt;=2,3,IF(C119&gt;=1,2,IF(C119&gt;0,1,0))))</x:f>
        <x:v>0</x:v>
      </x:c>
      <x:c r="Q119" s="7" t="n">
        <x:f>N119*2+O119+P119+IF(F119&gt;=0.2,1,0)+IF(K119="Gap",2,0)-IF(I119&lt;=2,5,0)</x:f>
        <x:v>10</x:v>
      </x:c>
      <x:c r="R119" s="7" t="str">
        <x:f>IF(I119&lt;=2,"D",IF(Q119&gt;=15,"A",IF(Q119&gt;=11,"B",IF(Q119&gt;=7,"C","D"))))</x:f>
        <x:v>C</x:v>
      </x:c>
      <x:c r="S119" s="12" t="n">
        <x:f>B119*'Dashboard'!$B$11</x:f>
        <x:v>0</x:v>
      </x:c>
      <x:c r="T119" s="10" t="n">
        <x:f>S119*'Dashboard'!$D$11</x:f>
        <x:v>0</x:v>
      </x:c>
      <x:c r="U119" s="7" t="str">
        <x:v>Low-volume commercial long tail; retain only when real supply evidence is available.</x:v>
      </x:c>
    </x:row>
    <x:row r="120" ht="19" customHeight="1">
      <x:c r="A120" s="7" t="str">
        <x:v>4we10 supplier</x:v>
      </x:c>
      <x:c r="B120" s="8" t="n">
        <x:v>0</x:v>
      </x:c>
      <x:c r="C120" s="9" t="n">
        <x:v>0</x:v>
      </x:c>
      <x:c r="D120" s="10" t="n">
        <x:v>0</x:v>
      </x:c>
      <x:c r="E120" s="8" t="n">
        <x:v>0</x:v>
      </x:c>
      <x:c r="F120" s="11" t="n">
        <x:v>0</x:v>
      </x:c>
      <x:c r="G120" s="7" t="str">
        <x:v>Transactional</x:v>
      </x:c>
      <x:c r="H120" s="7" t="str">
        <x:v>Hydraulic Valves</x:v>
      </x:c>
      <x:c r="I120" s="7" t="n">
        <x:v>5</x:v>
      </x:c>
      <x:c r="J120" s="7" t="str">
        <x:v>/models/bosch-rexroth-4we10-e5x-eg24n9k4-m/</x:v>
      </x:c>
      <x:c r="K120" s="7" t="str">
        <x:v>Covered</x:v>
      </x:c>
      <x:c r="L120" s="7" t="str">
        <x:v>Optimize existing page</x:v>
      </x:c>
      <x:c r="M120" s="7" t="str">
        <x:v>Model record</x:v>
      </x:c>
      <x:c r="N120" s="7" t="n">
        <x:v>5</x:v>
      </x:c>
      <x:c r="O120" s="7" t="n">
        <x:f>IF(B120&gt;=1000,5,IF(B120&gt;=300,4,IF(B120&gt;=100,3,IF(B120&gt;=30,2,IF(B120&gt;=10,1,0)))))</x:f>
        <x:v>0</x:v>
      </x:c>
      <x:c r="P120" s="7" t="n">
        <x:f>IF(C120&gt;=5,4,IF(C120&gt;=2,3,IF(C120&gt;=1,2,IF(C120&gt;0,1,0))))</x:f>
        <x:v>0</x:v>
      </x:c>
      <x:c r="Q120" s="7" t="n">
        <x:f>N120*2+O120+P120+IF(F120&gt;=0.2,1,0)+IF(K120="Gap",2,0)-IF(I120&lt;=2,5,0)</x:f>
        <x:v>10</x:v>
      </x:c>
      <x:c r="R120" s="7" t="str">
        <x:f>IF(I120&lt;=2,"D",IF(Q120&gt;=15,"A",IF(Q120&gt;=11,"B",IF(Q120&gt;=7,"C","D"))))</x:f>
        <x:v>C</x:v>
      </x:c>
      <x:c r="S120" s="12" t="n">
        <x:f>B120*'Dashboard'!$B$11</x:f>
        <x:v>0</x:v>
      </x:c>
      <x:c r="T120" s="10" t="n">
        <x:f>S120*'Dashboard'!$D$11</x:f>
        <x:v>0</x:v>
      </x:c>
      <x:c r="U120" s="7" t="str">
        <x:v>Low-volume commercial long tail; retain only when real supply evidence is available.</x:v>
      </x:c>
    </x:row>
    <x:row r="121" ht="19" customHeight="1">
      <x:c r="A121" s="7" t="str">
        <x:v>4we6 equivalent</x:v>
      </x:c>
      <x:c r="B121" s="8" t="n">
        <x:v>0</x:v>
      </x:c>
      <x:c r="C121" s="9" t="n">
        <x:v>0</x:v>
      </x:c>
      <x:c r="D121" s="10" t="n">
        <x:v>0</x:v>
      </x:c>
      <x:c r="E121" s="8" t="n">
        <x:v>0</x:v>
      </x:c>
      <x:c r="F121" s="11" t="n">
        <x:v>0</x:v>
      </x:c>
      <x:c r="G121" s="7" t="str">
        <x:v>Commercial</x:v>
      </x:c>
      <x:c r="H121" s="7" t="str">
        <x:v>Replacement &amp; Cross-reference</x:v>
      </x:c>
      <x:c r="I121" s="7" t="n">
        <x:v>5</x:v>
      </x:c>
      <x:c r="J121" s="7" t="str">
        <x:v>/series/4we6/</x:v>
      </x:c>
      <x:c r="K121" s="7" t="str">
        <x:v>Covered</x:v>
      </x:c>
      <x:c r="L121" s="7" t="str">
        <x:v>Optimize existing page</x:v>
      </x:c>
      <x:c r="M121" s="7" t="str">
        <x:v>Series hub</x:v>
      </x:c>
      <x:c r="N121" s="7" t="n">
        <x:v>5</x:v>
      </x:c>
      <x:c r="O121" s="7" t="n">
        <x:f>IF(B121&gt;=1000,5,IF(B121&gt;=300,4,IF(B121&gt;=100,3,IF(B121&gt;=30,2,IF(B121&gt;=10,1,0)))))</x:f>
        <x:v>0</x:v>
      </x:c>
      <x:c r="P121" s="7" t="n">
        <x:f>IF(C121&gt;=5,4,IF(C121&gt;=2,3,IF(C121&gt;=1,2,IF(C121&gt;0,1,0))))</x:f>
        <x:v>0</x:v>
      </x:c>
      <x:c r="Q121" s="7" t="n">
        <x:f>N121*2+O121+P121+IF(F121&gt;=0.2,1,0)+IF(K121="Gap",2,0)-IF(I121&lt;=2,5,0)</x:f>
        <x:v>10</x:v>
      </x:c>
      <x:c r="R121" s="7" t="str">
        <x:f>IF(I121&lt;=2,"D",IF(Q121&gt;=15,"A",IF(Q121&gt;=11,"B",IF(Q121&gt;=7,"C","D"))))</x:f>
        <x:v>C</x:v>
      </x:c>
      <x:c r="S121" s="12" t="n">
        <x:f>B121*'Dashboard'!$B$11</x:f>
        <x:v>0</x:v>
      </x:c>
      <x:c r="T121" s="10" t="n">
        <x:f>S121*'Dashboard'!$D$11</x:f>
        <x:v>0</x:v>
      </x:c>
      <x:c r="U121" s="7" t="str">
        <x:v>Low-volume commercial long tail; retain only when real supply evidence is available.</x:v>
      </x:c>
    </x:row>
    <x:row r="122" ht="19" customHeight="1">
      <x:c r="A122" s="7" t="str">
        <x:v>4we6 parts</x:v>
      </x:c>
      <x:c r="B122" s="8" t="n">
        <x:v>0</x:v>
      </x:c>
      <x:c r="C122" s="9" t="n">
        <x:v>0</x:v>
      </x:c>
      <x:c r="D122" s="10" t="n">
        <x:v>0</x:v>
      </x:c>
      <x:c r="E122" s="8" t="n">
        <x:v>0</x:v>
      </x:c>
      <x:c r="F122" s="11" t="n">
        <x:v>0</x:v>
      </x:c>
      <x:c r="G122" s="7" t="str">
        <x:v>Commercial</x:v>
      </x:c>
      <x:c r="H122" s="7" t="str">
        <x:v>Hydraulic Valves</x:v>
      </x:c>
      <x:c r="I122" s="7" t="n">
        <x:v>5</x:v>
      </x:c>
      <x:c r="J122" s="7" t="str">
        <x:v>/series/4we6/</x:v>
      </x:c>
      <x:c r="K122" s="7" t="str">
        <x:v>Covered</x:v>
      </x:c>
      <x:c r="L122" s="7" t="str">
        <x:v>Optimize existing page</x:v>
      </x:c>
      <x:c r="M122" s="7" t="str">
        <x:v>Series hub</x:v>
      </x:c>
      <x:c r="N122" s="7" t="n">
        <x:v>5</x:v>
      </x:c>
      <x:c r="O122" s="7" t="n">
        <x:f>IF(B122&gt;=1000,5,IF(B122&gt;=300,4,IF(B122&gt;=100,3,IF(B122&gt;=30,2,IF(B122&gt;=10,1,0)))))</x:f>
        <x:v>0</x:v>
      </x:c>
      <x:c r="P122" s="7" t="n">
        <x:f>IF(C122&gt;=5,4,IF(C122&gt;=2,3,IF(C122&gt;=1,2,IF(C122&gt;0,1,0))))</x:f>
        <x:v>0</x:v>
      </x:c>
      <x:c r="Q122" s="7" t="n">
        <x:f>N122*2+O122+P122+IF(F122&gt;=0.2,1,0)+IF(K122="Gap",2,0)-IF(I122&lt;=2,5,0)</x:f>
        <x:v>10</x:v>
      </x:c>
      <x:c r="R122" s="7" t="str">
        <x:f>IF(I122&lt;=2,"D",IF(Q122&gt;=15,"A",IF(Q122&gt;=11,"B",IF(Q122&gt;=7,"C","D"))))</x:f>
        <x:v>C</x:v>
      </x:c>
      <x:c r="S122" s="12" t="n">
        <x:f>B122*'Dashboard'!$B$11</x:f>
        <x:v>0</x:v>
      </x:c>
      <x:c r="T122" s="10" t="n">
        <x:f>S122*'Dashboard'!$D$11</x:f>
        <x:v>0</x:v>
      </x:c>
      <x:c r="U122" s="7" t="str">
        <x:v>Low-volume commercial long tail; retain only when real supply evidence is available.</x:v>
      </x:c>
    </x:row>
    <x:row r="123" ht="19" customHeight="1">
      <x:c r="A123" s="7" t="str">
        <x:v>4we6 replacement</x:v>
      </x:c>
      <x:c r="B123" s="8" t="n">
        <x:v>0</x:v>
      </x:c>
      <x:c r="C123" s="9" t="n">
        <x:v>0</x:v>
      </x:c>
      <x:c r="D123" s="10" t="n">
        <x:v>0</x:v>
      </x:c>
      <x:c r="E123" s="8" t="n">
        <x:v>0</x:v>
      </x:c>
      <x:c r="F123" s="11" t="n">
        <x:v>0</x:v>
      </x:c>
      <x:c r="G123" s="7" t="str">
        <x:v>Commercial</x:v>
      </x:c>
      <x:c r="H123" s="7" t="str">
        <x:v>Replacement &amp; Cross-reference</x:v>
      </x:c>
      <x:c r="I123" s="7" t="n">
        <x:v>5</x:v>
      </x:c>
      <x:c r="J123" s="7" t="str">
        <x:v>/series/4we6/</x:v>
      </x:c>
      <x:c r="K123" s="7" t="str">
        <x:v>Covered</x:v>
      </x:c>
      <x:c r="L123" s="7" t="str">
        <x:v>Optimize existing page</x:v>
      </x:c>
      <x:c r="M123" s="7" t="str">
        <x:v>Series hub</x:v>
      </x:c>
      <x:c r="N123" s="7" t="n">
        <x:v>5</x:v>
      </x:c>
      <x:c r="O123" s="7" t="n">
        <x:f>IF(B123&gt;=1000,5,IF(B123&gt;=300,4,IF(B123&gt;=100,3,IF(B123&gt;=30,2,IF(B123&gt;=10,1,0)))))</x:f>
        <x:v>0</x:v>
      </x:c>
      <x:c r="P123" s="7" t="n">
        <x:f>IF(C123&gt;=5,4,IF(C123&gt;=2,3,IF(C123&gt;=1,2,IF(C123&gt;0,1,0))))</x:f>
        <x:v>0</x:v>
      </x:c>
      <x:c r="Q123" s="7" t="n">
        <x:f>N123*2+O123+P123+IF(F123&gt;=0.2,1,0)+IF(K123="Gap",2,0)-IF(I123&lt;=2,5,0)</x:f>
        <x:v>10</x:v>
      </x:c>
      <x:c r="R123" s="7" t="str">
        <x:f>IF(I123&lt;=2,"D",IF(Q123&gt;=15,"A",IF(Q123&gt;=11,"B",IF(Q123&gt;=7,"C","D"))))</x:f>
        <x:v>C</x:v>
      </x:c>
      <x:c r="S123" s="12" t="n">
        <x:f>B123*'Dashboard'!$B$11</x:f>
        <x:v>0</x:v>
      </x:c>
      <x:c r="T123" s="10" t="n">
        <x:f>S123*'Dashboard'!$D$11</x:f>
        <x:v>0</x:v>
      </x:c>
      <x:c r="U123" s="7" t="str">
        <x:v>Low-volume commercial long tail; retain only when real supply evidence is available.</x:v>
      </x:c>
    </x:row>
    <x:row r="124" ht="19" customHeight="1">
      <x:c r="A124" s="7" t="str">
        <x:v>4we6 seal kit</x:v>
      </x:c>
      <x:c r="B124" s="8" t="n">
        <x:v>0</x:v>
      </x:c>
      <x:c r="C124" s="9" t="n">
        <x:v>0</x:v>
      </x:c>
      <x:c r="D124" s="10" t="n">
        <x:v>0</x:v>
      </x:c>
      <x:c r="E124" s="8" t="n">
        <x:v>0</x:v>
      </x:c>
      <x:c r="F124" s="11" t="n">
        <x:v>0</x:v>
      </x:c>
      <x:c r="G124" s="7" t="str">
        <x:v>Commercial</x:v>
      </x:c>
      <x:c r="H124" s="7" t="str">
        <x:v>Repair Kits &amp; Service Parts</x:v>
      </x:c>
      <x:c r="I124" s="7" t="n">
        <x:v>5</x:v>
      </x:c>
      <x:c r="J124" s="7" t="str">
        <x:v>/series/4we6/</x:v>
      </x:c>
      <x:c r="K124" s="7" t="str">
        <x:v>Covered</x:v>
      </x:c>
      <x:c r="L124" s="7" t="str">
        <x:v>Optimize existing page</x:v>
      </x:c>
      <x:c r="M124" s="7" t="str">
        <x:v>Series hub</x:v>
      </x:c>
      <x:c r="N124" s="7" t="n">
        <x:v>5</x:v>
      </x:c>
      <x:c r="O124" s="7" t="n">
        <x:f>IF(B124&gt;=1000,5,IF(B124&gt;=300,4,IF(B124&gt;=100,3,IF(B124&gt;=30,2,IF(B124&gt;=10,1,0)))))</x:f>
        <x:v>0</x:v>
      </x:c>
      <x:c r="P124" s="7" t="n">
        <x:f>IF(C124&gt;=5,4,IF(C124&gt;=2,3,IF(C124&gt;=1,2,IF(C124&gt;0,1,0))))</x:f>
        <x:v>0</x:v>
      </x:c>
      <x:c r="Q124" s="7" t="n">
        <x:f>N124*2+O124+P124+IF(F124&gt;=0.2,1,0)+IF(K124="Gap",2,0)-IF(I124&lt;=2,5,0)</x:f>
        <x:v>10</x:v>
      </x:c>
      <x:c r="R124" s="7" t="str">
        <x:f>IF(I124&lt;=2,"D",IF(Q124&gt;=15,"A",IF(Q124&gt;=11,"B",IF(Q124&gt;=7,"C","D"))))</x:f>
        <x:v>C</x:v>
      </x:c>
      <x:c r="S124" s="12" t="n">
        <x:f>B124*'Dashboard'!$B$11</x:f>
        <x:v>0</x:v>
      </x:c>
      <x:c r="T124" s="10" t="n">
        <x:f>S124*'Dashboard'!$D$11</x:f>
        <x:v>0</x:v>
      </x:c>
      <x:c r="U124" s="7" t="str">
        <x:v>Low-volume commercial long tail; retain only when real supply evidence is available.</x:v>
      </x:c>
    </x:row>
    <x:row r="125" ht="19" customHeight="1">
      <x:c r="A125" s="7" t="str">
        <x:v>4we6 supplier</x:v>
      </x:c>
      <x:c r="B125" s="8" t="n">
        <x:v>0</x:v>
      </x:c>
      <x:c r="C125" s="9" t="n">
        <x:v>0</x:v>
      </x:c>
      <x:c r="D125" s="10" t="n">
        <x:v>0</x:v>
      </x:c>
      <x:c r="E125" s="8" t="n">
        <x:v>0</x:v>
      </x:c>
      <x:c r="F125" s="11" t="n">
        <x:v>0</x:v>
      </x:c>
      <x:c r="G125" s="7" t="str">
        <x:v>Transactional</x:v>
      </x:c>
      <x:c r="H125" s="7" t="str">
        <x:v>Hydraulic Valves</x:v>
      </x:c>
      <x:c r="I125" s="7" t="n">
        <x:v>5</x:v>
      </x:c>
      <x:c r="J125" s="7" t="str">
        <x:v>/series/4we6/</x:v>
      </x:c>
      <x:c r="K125" s="7" t="str">
        <x:v>Covered</x:v>
      </x:c>
      <x:c r="L125" s="7" t="str">
        <x:v>Optimize existing page</x:v>
      </x:c>
      <x:c r="M125" s="7" t="str">
        <x:v>Series hub</x:v>
      </x:c>
      <x:c r="N125" s="7" t="n">
        <x:v>5</x:v>
      </x:c>
      <x:c r="O125" s="7" t="n">
        <x:f>IF(B125&gt;=1000,5,IF(B125&gt;=300,4,IF(B125&gt;=100,3,IF(B125&gt;=30,2,IF(B125&gt;=10,1,0)))))</x:f>
        <x:v>0</x:v>
      </x:c>
      <x:c r="P125" s="7" t="n">
        <x:f>IF(C125&gt;=5,4,IF(C125&gt;=2,3,IF(C125&gt;=1,2,IF(C125&gt;0,1,0))))</x:f>
        <x:v>0</x:v>
      </x:c>
      <x:c r="Q125" s="7" t="n">
        <x:f>N125*2+O125+P125+IF(F125&gt;=0.2,1,0)+IF(K125="Gap",2,0)-IF(I125&lt;=2,5,0)</x:f>
        <x:v>10</x:v>
      </x:c>
      <x:c r="R125" s="7" t="str">
        <x:f>IF(I125&lt;=2,"D",IF(Q125&gt;=15,"A",IF(Q125&gt;=11,"B",IF(Q125&gt;=7,"C","D"))))</x:f>
        <x:v>C</x:v>
      </x:c>
      <x:c r="S125" s="12" t="n">
        <x:f>B125*'Dashboard'!$B$11</x:f>
        <x:v>0</x:v>
      </x:c>
      <x:c r="T125" s="10" t="n">
        <x:f>S125*'Dashboard'!$D$11</x:f>
        <x:v>0</x:v>
      </x:c>
      <x:c r="U125" s="7" t="str">
        <x:v>Low-volume commercial long tail; retain only when real supply evidence is available.</x:v>
      </x:c>
    </x:row>
    <x:row r="126" ht="19" customHeight="1">
      <x:c r="A126" s="7" t="str">
        <x:v>a10v equivalent</x:v>
      </x:c>
      <x:c r="B126" s="8" t="n">
        <x:v>0</x:v>
      </x:c>
      <x:c r="C126" s="9" t="n">
        <x:v>0</x:v>
      </x:c>
      <x:c r="D126" s="10" t="n">
        <x:v>0</x:v>
      </x:c>
      <x:c r="E126" s="8" t="n">
        <x:v>0</x:v>
      </x:c>
      <x:c r="F126" s="11" t="n">
        <x:v>0</x:v>
      </x:c>
      <x:c r="G126" s="7" t="str">
        <x:v>Commercial</x:v>
      </x:c>
      <x:c r="H126" s="7" t="str">
        <x:v>Replacement &amp; Cross-reference</x:v>
      </x:c>
      <x:c r="I126" s="7" t="n">
        <x:v>5</x:v>
      </x:c>
      <x:c r="J126" s="7" t="str">
        <x:v>/series/a10v/</x:v>
      </x:c>
      <x:c r="K126" s="7" t="str">
        <x:v>Covered</x:v>
      </x:c>
      <x:c r="L126" s="7" t="str">
        <x:v>Optimize existing page</x:v>
      </x:c>
      <x:c r="M126" s="7" t="str">
        <x:v>Series hub</x:v>
      </x:c>
      <x:c r="N126" s="7" t="n">
        <x:v>5</x:v>
      </x:c>
      <x:c r="O126" s="7" t="n">
        <x:f>IF(B126&gt;=1000,5,IF(B126&gt;=300,4,IF(B126&gt;=100,3,IF(B126&gt;=30,2,IF(B126&gt;=10,1,0)))))</x:f>
        <x:v>0</x:v>
      </x:c>
      <x:c r="P126" s="7" t="n">
        <x:f>IF(C126&gt;=5,4,IF(C126&gt;=2,3,IF(C126&gt;=1,2,IF(C126&gt;0,1,0))))</x:f>
        <x:v>0</x:v>
      </x:c>
      <x:c r="Q126" s="7" t="n">
        <x:f>N126*2+O126+P126+IF(F126&gt;=0.2,1,0)+IF(K126="Gap",2,0)-IF(I126&lt;=2,5,0)</x:f>
        <x:v>10</x:v>
      </x:c>
      <x:c r="R126" s="7" t="str">
        <x:f>IF(I126&lt;=2,"D",IF(Q126&gt;=15,"A",IF(Q126&gt;=11,"B",IF(Q126&gt;=7,"C","D"))))</x:f>
        <x:v>C</x:v>
      </x:c>
      <x:c r="S126" s="12" t="n">
        <x:f>B126*'Dashboard'!$B$11</x:f>
        <x:v>0</x:v>
      </x:c>
      <x:c r="T126" s="10" t="n">
        <x:f>S126*'Dashboard'!$D$11</x:f>
        <x:v>0</x:v>
      </x:c>
      <x:c r="U126" s="7" t="str">
        <x:v>Low-volume commercial long tail; retain only when real supply evidence is available.</x:v>
      </x:c>
    </x:row>
    <x:row r="127" ht="19" customHeight="1">
      <x:c r="A127" s="7" t="str">
        <x:v>a10v parts</x:v>
      </x:c>
      <x:c r="B127" s="8" t="n">
        <x:v>0</x:v>
      </x:c>
      <x:c r="C127" s="9" t="n">
        <x:v>0</x:v>
      </x:c>
      <x:c r="D127" s="10" t="n">
        <x:v>0</x:v>
      </x:c>
      <x:c r="E127" s="8" t="n">
        <x:v>0</x:v>
      </x:c>
      <x:c r="F127" s="11" t="n">
        <x:v>0</x:v>
      </x:c>
      <x:c r="G127" s="7" t="str">
        <x:v>Commercial</x:v>
      </x:c>
      <x:c r="H127" s="7" t="str">
        <x:v>Hydraulic Pumps</x:v>
      </x:c>
      <x:c r="I127" s="7" t="n">
        <x:v>5</x:v>
      </x:c>
      <x:c r="J127" s="7" t="str">
        <x:v>/series/a10v/</x:v>
      </x:c>
      <x:c r="K127" s="7" t="str">
        <x:v>Covered</x:v>
      </x:c>
      <x:c r="L127" s="7" t="str">
        <x:v>Optimize existing page</x:v>
      </x:c>
      <x:c r="M127" s="7" t="str">
        <x:v>Series hub</x:v>
      </x:c>
      <x:c r="N127" s="7" t="n">
        <x:v>5</x:v>
      </x:c>
      <x:c r="O127" s="7" t="n">
        <x:f>IF(B127&gt;=1000,5,IF(B127&gt;=300,4,IF(B127&gt;=100,3,IF(B127&gt;=30,2,IF(B127&gt;=10,1,0)))))</x:f>
        <x:v>0</x:v>
      </x:c>
      <x:c r="P127" s="7" t="n">
        <x:f>IF(C127&gt;=5,4,IF(C127&gt;=2,3,IF(C127&gt;=1,2,IF(C127&gt;0,1,0))))</x:f>
        <x:v>0</x:v>
      </x:c>
      <x:c r="Q127" s="7" t="n">
        <x:f>N127*2+O127+P127+IF(F127&gt;=0.2,1,0)+IF(K127="Gap",2,0)-IF(I127&lt;=2,5,0)</x:f>
        <x:v>10</x:v>
      </x:c>
      <x:c r="R127" s="7" t="str">
        <x:f>IF(I127&lt;=2,"D",IF(Q127&gt;=15,"A",IF(Q127&gt;=11,"B",IF(Q127&gt;=7,"C","D"))))</x:f>
        <x:v>C</x:v>
      </x:c>
      <x:c r="S127" s="12" t="n">
        <x:f>B127*'Dashboard'!$B$11</x:f>
        <x:v>0</x:v>
      </x:c>
      <x:c r="T127" s="10" t="n">
        <x:f>S127*'Dashboard'!$D$11</x:f>
        <x:v>0</x:v>
      </x:c>
      <x:c r="U127" s="7" t="str">
        <x:v>Low-volume commercial long tail; retain only when real supply evidence is available.</x:v>
      </x:c>
    </x:row>
    <x:row r="128" ht="19" customHeight="1">
      <x:c r="A128" s="7" t="str">
        <x:v>a10v replacement</x:v>
      </x:c>
      <x:c r="B128" s="8" t="n">
        <x:v>0</x:v>
      </x:c>
      <x:c r="C128" s="9" t="n">
        <x:v>0</x:v>
      </x:c>
      <x:c r="D128" s="10" t="n">
        <x:v>0</x:v>
      </x:c>
      <x:c r="E128" s="8" t="n">
        <x:v>0</x:v>
      </x:c>
      <x:c r="F128" s="11" t="n">
        <x:v>0</x:v>
      </x:c>
      <x:c r="G128" s="7" t="str">
        <x:v>Commercial</x:v>
      </x:c>
      <x:c r="H128" s="7" t="str">
        <x:v>Replacement &amp; Cross-reference</x:v>
      </x:c>
      <x:c r="I128" s="7" t="n">
        <x:v>5</x:v>
      </x:c>
      <x:c r="J128" s="7" t="str">
        <x:v>/series/a10v/</x:v>
      </x:c>
      <x:c r="K128" s="7" t="str">
        <x:v>Covered</x:v>
      </x:c>
      <x:c r="L128" s="7" t="str">
        <x:v>Optimize existing page</x:v>
      </x:c>
      <x:c r="M128" s="7" t="str">
        <x:v>Series hub</x:v>
      </x:c>
      <x:c r="N128" s="7" t="n">
        <x:v>5</x:v>
      </x:c>
      <x:c r="O128" s="7" t="n">
        <x:f>IF(B128&gt;=1000,5,IF(B128&gt;=300,4,IF(B128&gt;=100,3,IF(B128&gt;=30,2,IF(B128&gt;=10,1,0)))))</x:f>
        <x:v>0</x:v>
      </x:c>
      <x:c r="P128" s="7" t="n">
        <x:f>IF(C128&gt;=5,4,IF(C128&gt;=2,3,IF(C128&gt;=1,2,IF(C128&gt;0,1,0))))</x:f>
        <x:v>0</x:v>
      </x:c>
      <x:c r="Q128" s="7" t="n">
        <x:f>N128*2+O128+P128+IF(F128&gt;=0.2,1,0)+IF(K128="Gap",2,0)-IF(I128&lt;=2,5,0)</x:f>
        <x:v>10</x:v>
      </x:c>
      <x:c r="R128" s="7" t="str">
        <x:f>IF(I128&lt;=2,"D",IF(Q128&gt;=15,"A",IF(Q128&gt;=11,"B",IF(Q128&gt;=7,"C","D"))))</x:f>
        <x:v>C</x:v>
      </x:c>
      <x:c r="S128" s="12" t="n">
        <x:f>B128*'Dashboard'!$B$11</x:f>
        <x:v>0</x:v>
      </x:c>
      <x:c r="T128" s="10" t="n">
        <x:f>S128*'Dashboard'!$D$11</x:f>
        <x:v>0</x:v>
      </x:c>
      <x:c r="U128" s="7" t="str">
        <x:v>Low-volume commercial long tail; retain only when real supply evidence is available.</x:v>
      </x:c>
    </x:row>
    <x:row r="129" ht="19" customHeight="1">
      <x:c r="A129" s="7" t="str">
        <x:v>a10v seal kit</x:v>
      </x:c>
      <x:c r="B129" s="8" t="n">
        <x:v>0</x:v>
      </x:c>
      <x:c r="C129" s="9" t="n">
        <x:v>0</x:v>
      </x:c>
      <x:c r="D129" s="10" t="n">
        <x:v>0</x:v>
      </x:c>
      <x:c r="E129" s="8" t="n">
        <x:v>0</x:v>
      </x:c>
      <x:c r="F129" s="11" t="n">
        <x:v>0</x:v>
      </x:c>
      <x:c r="G129" s="7" t="str">
        <x:v>Commercial</x:v>
      </x:c>
      <x:c r="H129" s="7" t="str">
        <x:v>Repair Kits &amp; Service Parts</x:v>
      </x:c>
      <x:c r="I129" s="7" t="n">
        <x:v>5</x:v>
      </x:c>
      <x:c r="J129" s="7" t="str">
        <x:v>/series/a10v/</x:v>
      </x:c>
      <x:c r="K129" s="7" t="str">
        <x:v>Covered</x:v>
      </x:c>
      <x:c r="L129" s="7" t="str">
        <x:v>Optimize existing page</x:v>
      </x:c>
      <x:c r="M129" s="7" t="str">
        <x:v>Series hub</x:v>
      </x:c>
      <x:c r="N129" s="7" t="n">
        <x:v>5</x:v>
      </x:c>
      <x:c r="O129" s="7" t="n">
        <x:f>IF(B129&gt;=1000,5,IF(B129&gt;=300,4,IF(B129&gt;=100,3,IF(B129&gt;=30,2,IF(B129&gt;=10,1,0)))))</x:f>
        <x:v>0</x:v>
      </x:c>
      <x:c r="P129" s="7" t="n">
        <x:f>IF(C129&gt;=5,4,IF(C129&gt;=2,3,IF(C129&gt;=1,2,IF(C129&gt;0,1,0))))</x:f>
        <x:v>0</x:v>
      </x:c>
      <x:c r="Q129" s="7" t="n">
        <x:f>N129*2+O129+P129+IF(F129&gt;=0.2,1,0)+IF(K129="Gap",2,0)-IF(I129&lt;=2,5,0)</x:f>
        <x:v>10</x:v>
      </x:c>
      <x:c r="R129" s="7" t="str">
        <x:f>IF(I129&lt;=2,"D",IF(Q129&gt;=15,"A",IF(Q129&gt;=11,"B",IF(Q129&gt;=7,"C","D"))))</x:f>
        <x:v>C</x:v>
      </x:c>
      <x:c r="S129" s="12" t="n">
        <x:f>B129*'Dashboard'!$B$11</x:f>
        <x:v>0</x:v>
      </x:c>
      <x:c r="T129" s="10" t="n">
        <x:f>S129*'Dashboard'!$D$11</x:f>
        <x:v>0</x:v>
      </x:c>
      <x:c r="U129" s="7" t="str">
        <x:v>Low-volume commercial long tail; retain only when real supply evidence is available.</x:v>
      </x:c>
    </x:row>
    <x:row r="130" ht="19" customHeight="1">
      <x:c r="A130" s="7" t="str">
        <x:v>a10v supplier</x:v>
      </x:c>
      <x:c r="B130" s="8" t="n">
        <x:v>0</x:v>
      </x:c>
      <x:c r="C130" s="9" t="n">
        <x:v>0</x:v>
      </x:c>
      <x:c r="D130" s="10" t="n">
        <x:v>0</x:v>
      </x:c>
      <x:c r="E130" s="8" t="n">
        <x:v>0</x:v>
      </x:c>
      <x:c r="F130" s="11" t="n">
        <x:v>0</x:v>
      </x:c>
      <x:c r="G130" s="7" t="str">
        <x:v>Transactional</x:v>
      </x:c>
      <x:c r="H130" s="7" t="str">
        <x:v>Hydraulic Pumps</x:v>
      </x:c>
      <x:c r="I130" s="7" t="n">
        <x:v>5</x:v>
      </x:c>
      <x:c r="J130" s="7" t="str">
        <x:v>/series/a10v/</x:v>
      </x:c>
      <x:c r="K130" s="7" t="str">
        <x:v>Covered</x:v>
      </x:c>
      <x:c r="L130" s="7" t="str">
        <x:v>Optimize existing page</x:v>
      </x:c>
      <x:c r="M130" s="7" t="str">
        <x:v>Series hub</x:v>
      </x:c>
      <x:c r="N130" s="7" t="n">
        <x:v>5</x:v>
      </x:c>
      <x:c r="O130" s="7" t="n">
        <x:f>IF(B130&gt;=1000,5,IF(B130&gt;=300,4,IF(B130&gt;=100,3,IF(B130&gt;=30,2,IF(B130&gt;=10,1,0)))))</x:f>
        <x:v>0</x:v>
      </x:c>
      <x:c r="P130" s="7" t="n">
        <x:f>IF(C130&gt;=5,4,IF(C130&gt;=2,3,IF(C130&gt;=1,2,IF(C130&gt;0,1,0))))</x:f>
        <x:v>0</x:v>
      </x:c>
      <x:c r="Q130" s="7" t="n">
        <x:f>N130*2+O130+P130+IF(F130&gt;=0.2,1,0)+IF(K130="Gap",2,0)-IF(I130&lt;=2,5,0)</x:f>
        <x:v>10</x:v>
      </x:c>
      <x:c r="R130" s="7" t="str">
        <x:f>IF(I130&lt;=2,"D",IF(Q130&gt;=15,"A",IF(Q130&gt;=11,"B",IF(Q130&gt;=7,"C","D"))))</x:f>
        <x:v>C</x:v>
      </x:c>
      <x:c r="S130" s="12" t="n">
        <x:f>B130*'Dashboard'!$B$11</x:f>
        <x:v>0</x:v>
      </x:c>
      <x:c r="T130" s="10" t="n">
        <x:f>S130*'Dashboard'!$D$11</x:f>
        <x:v>0</x:v>
      </x:c>
      <x:c r="U130" s="7" t="str">
        <x:v>Low-volume commercial long tail; retain only when real supply evidence is available.</x:v>
      </x:c>
    </x:row>
    <x:row r="131" ht="19" customHeight="1">
      <x:c r="A131" s="7" t="str">
        <x:v>a10vo equivalent</x:v>
      </x:c>
      <x:c r="B131" s="8" t="n">
        <x:v>0</x:v>
      </x:c>
      <x:c r="C131" s="9" t="n">
        <x:v>0</x:v>
      </x:c>
      <x:c r="D131" s="10" t="n">
        <x:v>0</x:v>
      </x:c>
      <x:c r="E131" s="8" t="n">
        <x:v>0</x:v>
      </x:c>
      <x:c r="F131" s="11" t="n">
        <x:v>0</x:v>
      </x:c>
      <x:c r="G131" s="7" t="str">
        <x:v>Commercial</x:v>
      </x:c>
      <x:c r="H131" s="7" t="str">
        <x:v>Replacement &amp; Cross-reference</x:v>
      </x:c>
      <x:c r="I131" s="7" t="n">
        <x:v>5</x:v>
      </x:c>
      <x:c r="J131" s="7" t="str">
        <x:v>/models/rexroth-a10vo28dr-31r-psc61k40/</x:v>
      </x:c>
      <x:c r="K131" s="7" t="str">
        <x:v>Covered</x:v>
      </x:c>
      <x:c r="L131" s="7" t="str">
        <x:v>Optimize existing page</x:v>
      </x:c>
      <x:c r="M131" s="7" t="str">
        <x:v>Model record</x:v>
      </x:c>
      <x:c r="N131" s="7" t="n">
        <x:v>5</x:v>
      </x:c>
      <x:c r="O131" s="7" t="n">
        <x:f>IF(B131&gt;=1000,5,IF(B131&gt;=300,4,IF(B131&gt;=100,3,IF(B131&gt;=30,2,IF(B131&gt;=10,1,0)))))</x:f>
        <x:v>0</x:v>
      </x:c>
      <x:c r="P131" s="7" t="n">
        <x:f>IF(C131&gt;=5,4,IF(C131&gt;=2,3,IF(C131&gt;=1,2,IF(C131&gt;0,1,0))))</x:f>
        <x:v>0</x:v>
      </x:c>
      <x:c r="Q131" s="7" t="n">
        <x:f>N131*2+O131+P131+IF(F131&gt;=0.2,1,0)+IF(K131="Gap",2,0)-IF(I131&lt;=2,5,0)</x:f>
        <x:v>10</x:v>
      </x:c>
      <x:c r="R131" s="7" t="str">
        <x:f>IF(I131&lt;=2,"D",IF(Q131&gt;=15,"A",IF(Q131&gt;=11,"B",IF(Q131&gt;=7,"C","D"))))</x:f>
        <x:v>C</x:v>
      </x:c>
      <x:c r="S131" s="12" t="n">
        <x:f>B131*'Dashboard'!$B$11</x:f>
        <x:v>0</x:v>
      </x:c>
      <x:c r="T131" s="10" t="n">
        <x:f>S131*'Dashboard'!$D$11</x:f>
        <x:v>0</x:v>
      </x:c>
      <x:c r="U131" s="7" t="str">
        <x:v>Low-volume commercial long tail; retain only when real supply evidence is available.</x:v>
      </x:c>
    </x:row>
    <x:row r="132" ht="19" customHeight="1">
      <x:c r="A132" s="7" t="str">
        <x:v>a10vo parts</x:v>
      </x:c>
      <x:c r="B132" s="8" t="n">
        <x:v>0</x:v>
      </x:c>
      <x:c r="C132" s="9" t="n">
        <x:v>0</x:v>
      </x:c>
      <x:c r="D132" s="10" t="n">
        <x:v>0</x:v>
      </x:c>
      <x:c r="E132" s="8" t="n">
        <x:v>0</x:v>
      </x:c>
      <x:c r="F132" s="11" t="n">
        <x:v>0</x:v>
      </x:c>
      <x:c r="G132" s="7" t="str">
        <x:v>Commercial</x:v>
      </x:c>
      <x:c r="H132" s="7" t="str">
        <x:v>Hydraulic Pumps</x:v>
      </x:c>
      <x:c r="I132" s="7" t="n">
        <x:v>5</x:v>
      </x:c>
      <x:c r="J132" s="7" t="str">
        <x:v>/models/rexroth-a10vo28dr-31r-psc61k40/</x:v>
      </x:c>
      <x:c r="K132" s="7" t="str">
        <x:v>Covered</x:v>
      </x:c>
      <x:c r="L132" s="7" t="str">
        <x:v>Optimize existing page</x:v>
      </x:c>
      <x:c r="M132" s="7" t="str">
        <x:v>Model record</x:v>
      </x:c>
      <x:c r="N132" s="7" t="n">
        <x:v>5</x:v>
      </x:c>
      <x:c r="O132" s="7" t="n">
        <x:f>IF(B132&gt;=1000,5,IF(B132&gt;=300,4,IF(B132&gt;=100,3,IF(B132&gt;=30,2,IF(B132&gt;=10,1,0)))))</x:f>
        <x:v>0</x:v>
      </x:c>
      <x:c r="P132" s="7" t="n">
        <x:f>IF(C132&gt;=5,4,IF(C132&gt;=2,3,IF(C132&gt;=1,2,IF(C132&gt;0,1,0))))</x:f>
        <x:v>0</x:v>
      </x:c>
      <x:c r="Q132" s="7" t="n">
        <x:f>N132*2+O132+P132+IF(F132&gt;=0.2,1,0)+IF(K132="Gap",2,0)-IF(I132&lt;=2,5,0)</x:f>
        <x:v>10</x:v>
      </x:c>
      <x:c r="R132" s="7" t="str">
        <x:f>IF(I132&lt;=2,"D",IF(Q132&gt;=15,"A",IF(Q132&gt;=11,"B",IF(Q132&gt;=7,"C","D"))))</x:f>
        <x:v>C</x:v>
      </x:c>
      <x:c r="S132" s="12" t="n">
        <x:f>B132*'Dashboard'!$B$11</x:f>
        <x:v>0</x:v>
      </x:c>
      <x:c r="T132" s="10" t="n">
        <x:f>S132*'Dashboard'!$D$11</x:f>
        <x:v>0</x:v>
      </x:c>
      <x:c r="U132" s="7" t="str">
        <x:v>Low-volume commercial long tail; retain only when real supply evidence is available.</x:v>
      </x:c>
    </x:row>
    <x:row r="133" ht="19" customHeight="1">
      <x:c r="A133" s="7" t="str">
        <x:v>a10vo replacement</x:v>
      </x:c>
      <x:c r="B133" s="8" t="n">
        <x:v>0</x:v>
      </x:c>
      <x:c r="C133" s="9" t="n">
        <x:v>0</x:v>
      </x:c>
      <x:c r="D133" s="10" t="n">
        <x:v>0</x:v>
      </x:c>
      <x:c r="E133" s="8" t="n">
        <x:v>0</x:v>
      </x:c>
      <x:c r="F133" s="11" t="n">
        <x:v>0</x:v>
      </x:c>
      <x:c r="G133" s="7" t="str">
        <x:v>Commercial</x:v>
      </x:c>
      <x:c r="H133" s="7" t="str">
        <x:v>Replacement &amp; Cross-reference</x:v>
      </x:c>
      <x:c r="I133" s="7" t="n">
        <x:v>5</x:v>
      </x:c>
      <x:c r="J133" s="7" t="str">
        <x:v>/models/rexroth-a10vo28dr-31r-psc61k40/</x:v>
      </x:c>
      <x:c r="K133" s="7" t="str">
        <x:v>Covered</x:v>
      </x:c>
      <x:c r="L133" s="7" t="str">
        <x:v>Optimize existing page</x:v>
      </x:c>
      <x:c r="M133" s="7" t="str">
        <x:v>Model record</x:v>
      </x:c>
      <x:c r="N133" s="7" t="n">
        <x:v>5</x:v>
      </x:c>
      <x:c r="O133" s="7" t="n">
        <x:f>IF(B133&gt;=1000,5,IF(B133&gt;=300,4,IF(B133&gt;=100,3,IF(B133&gt;=30,2,IF(B133&gt;=10,1,0)))))</x:f>
        <x:v>0</x:v>
      </x:c>
      <x:c r="P133" s="7" t="n">
        <x:f>IF(C133&gt;=5,4,IF(C133&gt;=2,3,IF(C133&gt;=1,2,IF(C133&gt;0,1,0))))</x:f>
        <x:v>0</x:v>
      </x:c>
      <x:c r="Q133" s="7" t="n">
        <x:f>N133*2+O133+P133+IF(F133&gt;=0.2,1,0)+IF(K133="Gap",2,0)-IF(I133&lt;=2,5,0)</x:f>
        <x:v>10</x:v>
      </x:c>
      <x:c r="R133" s="7" t="str">
        <x:f>IF(I133&lt;=2,"D",IF(Q133&gt;=15,"A",IF(Q133&gt;=11,"B",IF(Q133&gt;=7,"C","D"))))</x:f>
        <x:v>C</x:v>
      </x:c>
      <x:c r="S133" s="12" t="n">
        <x:f>B133*'Dashboard'!$B$11</x:f>
        <x:v>0</x:v>
      </x:c>
      <x:c r="T133" s="10" t="n">
        <x:f>S133*'Dashboard'!$D$11</x:f>
        <x:v>0</x:v>
      </x:c>
      <x:c r="U133" s="7" t="str">
        <x:v>Low-volume commercial long tail; retain only when real supply evidence is available.</x:v>
      </x:c>
    </x:row>
    <x:row r="134" ht="19" customHeight="1">
      <x:c r="A134" s="7" t="str">
        <x:v>a10vo seal kit</x:v>
      </x:c>
      <x:c r="B134" s="8" t="n">
        <x:v>0</x:v>
      </x:c>
      <x:c r="C134" s="9" t="n">
        <x:v>0</x:v>
      </x:c>
      <x:c r="D134" s="10" t="n">
        <x:v>0</x:v>
      </x:c>
      <x:c r="E134" s="8" t="n">
        <x:v>0</x:v>
      </x:c>
      <x:c r="F134" s="11" t="n">
        <x:v>0</x:v>
      </x:c>
      <x:c r="G134" s="7" t="str">
        <x:v>Commercial</x:v>
      </x:c>
      <x:c r="H134" s="7" t="str">
        <x:v>Repair Kits &amp; Service Parts</x:v>
      </x:c>
      <x:c r="I134" s="7" t="n">
        <x:v>5</x:v>
      </x:c>
      <x:c r="J134" s="7" t="str">
        <x:v>/models/rexroth-a10vo28dr-31r-psc61k40/</x:v>
      </x:c>
      <x:c r="K134" s="7" t="str">
        <x:v>Covered</x:v>
      </x:c>
      <x:c r="L134" s="7" t="str">
        <x:v>Optimize existing page</x:v>
      </x:c>
      <x:c r="M134" s="7" t="str">
        <x:v>Model record</x:v>
      </x:c>
      <x:c r="N134" s="7" t="n">
        <x:v>5</x:v>
      </x:c>
      <x:c r="O134" s="7" t="n">
        <x:f>IF(B134&gt;=1000,5,IF(B134&gt;=300,4,IF(B134&gt;=100,3,IF(B134&gt;=30,2,IF(B134&gt;=10,1,0)))))</x:f>
        <x:v>0</x:v>
      </x:c>
      <x:c r="P134" s="7" t="n">
        <x:f>IF(C134&gt;=5,4,IF(C134&gt;=2,3,IF(C134&gt;=1,2,IF(C134&gt;0,1,0))))</x:f>
        <x:v>0</x:v>
      </x:c>
      <x:c r="Q134" s="7" t="n">
        <x:f>N134*2+O134+P134+IF(F134&gt;=0.2,1,0)+IF(K134="Gap",2,0)-IF(I134&lt;=2,5,0)</x:f>
        <x:v>10</x:v>
      </x:c>
      <x:c r="R134" s="7" t="str">
        <x:f>IF(I134&lt;=2,"D",IF(Q134&gt;=15,"A",IF(Q134&gt;=11,"B",IF(Q134&gt;=7,"C","D"))))</x:f>
        <x:v>C</x:v>
      </x:c>
      <x:c r="S134" s="12" t="n">
        <x:f>B134*'Dashboard'!$B$11</x:f>
        <x:v>0</x:v>
      </x:c>
      <x:c r="T134" s="10" t="n">
        <x:f>S134*'Dashboard'!$D$11</x:f>
        <x:v>0</x:v>
      </x:c>
      <x:c r="U134" s="7" t="str">
        <x:v>Low-volume commercial long tail; retain only when real supply evidence is available.</x:v>
      </x:c>
    </x:row>
    <x:row r="135" ht="19" customHeight="1">
      <x:c r="A135" s="7" t="str">
        <x:v>a10vo supplier</x:v>
      </x:c>
      <x:c r="B135" s="8" t="n">
        <x:v>0</x:v>
      </x:c>
      <x:c r="C135" s="9" t="n">
        <x:v>0</x:v>
      </x:c>
      <x:c r="D135" s="10" t="n">
        <x:v>0</x:v>
      </x:c>
      <x:c r="E135" s="8" t="n">
        <x:v>0</x:v>
      </x:c>
      <x:c r="F135" s="11" t="n">
        <x:v>0</x:v>
      </x:c>
      <x:c r="G135" s="7" t="str">
        <x:v>Transactional</x:v>
      </x:c>
      <x:c r="H135" s="7" t="str">
        <x:v>Hydraulic Pumps</x:v>
      </x:c>
      <x:c r="I135" s="7" t="n">
        <x:v>5</x:v>
      </x:c>
      <x:c r="J135" s="7" t="str">
        <x:v>/models/rexroth-a10vo28dr-31r-psc61k40/</x:v>
      </x:c>
      <x:c r="K135" s="7" t="str">
        <x:v>Covered</x:v>
      </x:c>
      <x:c r="L135" s="7" t="str">
        <x:v>Optimize existing page</x:v>
      </x:c>
      <x:c r="M135" s="7" t="str">
        <x:v>Model record</x:v>
      </x:c>
      <x:c r="N135" s="7" t="n">
        <x:v>5</x:v>
      </x:c>
      <x:c r="O135" s="7" t="n">
        <x:f>IF(B135&gt;=1000,5,IF(B135&gt;=300,4,IF(B135&gt;=100,3,IF(B135&gt;=30,2,IF(B135&gt;=10,1,0)))))</x:f>
        <x:v>0</x:v>
      </x:c>
      <x:c r="P135" s="7" t="n">
        <x:f>IF(C135&gt;=5,4,IF(C135&gt;=2,3,IF(C135&gt;=1,2,IF(C135&gt;0,1,0))))</x:f>
        <x:v>0</x:v>
      </x:c>
      <x:c r="Q135" s="7" t="n">
        <x:f>N135*2+O135+P135+IF(F135&gt;=0.2,1,0)+IF(K135="Gap",2,0)-IF(I135&lt;=2,5,0)</x:f>
        <x:v>10</x:v>
      </x:c>
      <x:c r="R135" s="7" t="str">
        <x:f>IF(I135&lt;=2,"D",IF(Q135&gt;=15,"A",IF(Q135&gt;=11,"B",IF(Q135&gt;=7,"C","D"))))</x:f>
        <x:v>C</x:v>
      </x:c>
      <x:c r="S135" s="12" t="n">
        <x:f>B135*'Dashboard'!$B$11</x:f>
        <x:v>0</x:v>
      </x:c>
      <x:c r="T135" s="10" t="n">
        <x:f>S135*'Dashboard'!$D$11</x:f>
        <x:v>0</x:v>
      </x:c>
      <x:c r="U135" s="7" t="str">
        <x:v>Low-volume commercial long tail; retain only when real supply evidence is available.</x:v>
      </x:c>
    </x:row>
    <x:row r="136" ht="19" customHeight="1">
      <x:c r="A136" s="7" t="str">
        <x:v>a10vo28dr/31r-psc61k40</x:v>
      </x:c>
      <x:c r="B136" s="8" t="n">
        <x:v>0</x:v>
      </x:c>
      <x:c r="C136" s="9" t="n">
        <x:v>0</x:v>
      </x:c>
      <x:c r="D136" s="10" t="n">
        <x:v>0</x:v>
      </x:c>
      <x:c r="E136" s="8" t="n">
        <x:v>0</x:v>
      </x:c>
      <x:c r="F136" s="11" t="n">
        <x:v>0</x:v>
      </x:c>
      <x:c r="G136" s="7" t="str">
        <x:v>Product research</x:v>
      </x:c>
      <x:c r="H136" s="7" t="str">
        <x:v>Hydraulic Pumps</x:v>
      </x:c>
      <x:c r="I136" s="7" t="n">
        <x:v>5</x:v>
      </x:c>
      <x:c r="J136" s="7" t="str">
        <x:v>/models/rexroth-a10vo28dr-31r-psc61k40/</x:v>
      </x:c>
      <x:c r="K136" s="7" t="str">
        <x:v>Covered</x:v>
      </x:c>
      <x:c r="L136" s="7" t="str">
        <x:v>Optimize existing page</x:v>
      </x:c>
      <x:c r="M136" s="7" t="str">
        <x:v>Model record</x:v>
      </x:c>
      <x:c r="N136" s="7" t="n">
        <x:v>5</x:v>
      </x:c>
      <x:c r="O136" s="7" t="n">
        <x:f>IF(B136&gt;=1000,5,IF(B136&gt;=300,4,IF(B136&gt;=100,3,IF(B136&gt;=30,2,IF(B136&gt;=10,1,0)))))</x:f>
        <x:v>0</x:v>
      </x:c>
      <x:c r="P136" s="7" t="n">
        <x:f>IF(C136&gt;=5,4,IF(C136&gt;=2,3,IF(C136&gt;=1,2,IF(C136&gt;0,1,0))))</x:f>
        <x:v>0</x:v>
      </x:c>
      <x:c r="Q136" s="7" t="n">
        <x:f>N136*2+O136+P136+IF(F136&gt;=0.2,1,0)+IF(K136="Gap",2,0)-IF(I136&lt;=2,5,0)</x:f>
        <x:v>10</x:v>
      </x:c>
      <x:c r="R136" s="7" t="str">
        <x:f>IF(I136&lt;=2,"D",IF(Q136&gt;=15,"A",IF(Q136&gt;=11,"B",IF(Q136&gt;=7,"C","D"))))</x:f>
        <x:v>C</x:v>
      </x:c>
      <x:c r="S136" s="12" t="n">
        <x:f>B136*'Dashboard'!$B$11</x:f>
        <x:v>0</x:v>
      </x:c>
      <x:c r="T136" s="10" t="n">
        <x:f>S136*'Dashboard'!$D$11</x:f>
        <x:v>0</x:v>
      </x:c>
      <x:c r="U136" s="7" t="str">
        <x:v>Low-volume commercial long tail; retain only when real supply evidence is available.</x:v>
      </x:c>
    </x:row>
    <x:row r="137" ht="19" customHeight="1">
      <x:c r="A137" s="7" t="str">
        <x:v>a10vo28dr/31r-psc61k40 replacement</x:v>
      </x:c>
      <x:c r="B137" s="8" t="n">
        <x:v>0</x:v>
      </x:c>
      <x:c r="C137" s="9" t="n">
        <x:v>0</x:v>
      </x:c>
      <x:c r="D137" s="10" t="n">
        <x:v>0</x:v>
      </x:c>
      <x:c r="E137" s="8" t="n">
        <x:v>0</x:v>
      </x:c>
      <x:c r="F137" s="11" t="n">
        <x:v>0</x:v>
      </x:c>
      <x:c r="G137" s="7" t="str">
        <x:v>Commercial</x:v>
      </x:c>
      <x:c r="H137" s="7" t="str">
        <x:v>Replacement &amp; Cross-reference</x:v>
      </x:c>
      <x:c r="I137" s="7" t="n">
        <x:v>5</x:v>
      </x:c>
      <x:c r="J137" s="7" t="str">
        <x:v>/models/rexroth-a10vo28dr-31r-psc61k40/</x:v>
      </x:c>
      <x:c r="K137" s="7" t="str">
        <x:v>Covered</x:v>
      </x:c>
      <x:c r="L137" s="7" t="str">
        <x:v>Optimize existing page</x:v>
      </x:c>
      <x:c r="M137" s="7" t="str">
        <x:v>Model record</x:v>
      </x:c>
      <x:c r="N137" s="7" t="n">
        <x:v>5</x:v>
      </x:c>
      <x:c r="O137" s="7" t="n">
        <x:f>IF(B137&gt;=1000,5,IF(B137&gt;=300,4,IF(B137&gt;=100,3,IF(B137&gt;=30,2,IF(B137&gt;=10,1,0)))))</x:f>
        <x:v>0</x:v>
      </x:c>
      <x:c r="P137" s="7" t="n">
        <x:f>IF(C137&gt;=5,4,IF(C137&gt;=2,3,IF(C137&gt;=1,2,IF(C137&gt;0,1,0))))</x:f>
        <x:v>0</x:v>
      </x:c>
      <x:c r="Q137" s="7" t="n">
        <x:f>N137*2+O137+P137+IF(F137&gt;=0.2,1,0)+IF(K137="Gap",2,0)-IF(I137&lt;=2,5,0)</x:f>
        <x:v>10</x:v>
      </x:c>
      <x:c r="R137" s="7" t="str">
        <x:f>IF(I137&lt;=2,"D",IF(Q137&gt;=15,"A",IF(Q137&gt;=11,"B",IF(Q137&gt;=7,"C","D"))))</x:f>
        <x:v>C</x:v>
      </x:c>
      <x:c r="S137" s="12" t="n">
        <x:f>B137*'Dashboard'!$B$11</x:f>
        <x:v>0</x:v>
      </x:c>
      <x:c r="T137" s="10" t="n">
        <x:f>S137*'Dashboard'!$D$11</x:f>
        <x:v>0</x:v>
      </x:c>
      <x:c r="U137" s="7" t="str">
        <x:v>Low-volume commercial long tail; retain only when real supply evidence is available.</x:v>
      </x:c>
    </x:row>
    <x:row r="138" ht="19" customHeight="1">
      <x:c r="A138" s="7" t="str">
        <x:v>a10vo28dr/31r-psc61k40 seal kit</x:v>
      </x:c>
      <x:c r="B138" s="8" t="n">
        <x:v>0</x:v>
      </x:c>
      <x:c r="C138" s="9" t="n">
        <x:v>0</x:v>
      </x:c>
      <x:c r="D138" s="10" t="n">
        <x:v>0</x:v>
      </x:c>
      <x:c r="E138" s="8" t="n">
        <x:v>0</x:v>
      </x:c>
      <x:c r="F138" s="11" t="n">
        <x:v>0</x:v>
      </x:c>
      <x:c r="G138" s="7" t="str">
        <x:v>Commercial</x:v>
      </x:c>
      <x:c r="H138" s="7" t="str">
        <x:v>Repair Kits &amp; Service Parts</x:v>
      </x:c>
      <x:c r="I138" s="7" t="n">
        <x:v>5</x:v>
      </x:c>
      <x:c r="J138" s="7" t="str">
        <x:v>/models/rexroth-a10vo28dr-31r-psc61k40/</x:v>
      </x:c>
      <x:c r="K138" s="7" t="str">
        <x:v>Covered</x:v>
      </x:c>
      <x:c r="L138" s="7" t="str">
        <x:v>Optimize existing page</x:v>
      </x:c>
      <x:c r="M138" s="7" t="str">
        <x:v>Model record</x:v>
      </x:c>
      <x:c r="N138" s="7" t="n">
        <x:v>5</x:v>
      </x:c>
      <x:c r="O138" s="7" t="n">
        <x:f>IF(B138&gt;=1000,5,IF(B138&gt;=300,4,IF(B138&gt;=100,3,IF(B138&gt;=30,2,IF(B138&gt;=10,1,0)))))</x:f>
        <x:v>0</x:v>
      </x:c>
      <x:c r="P138" s="7" t="n">
        <x:f>IF(C138&gt;=5,4,IF(C138&gt;=2,3,IF(C138&gt;=1,2,IF(C138&gt;0,1,0))))</x:f>
        <x:v>0</x:v>
      </x:c>
      <x:c r="Q138" s="7" t="n">
        <x:f>N138*2+O138+P138+IF(F138&gt;=0.2,1,0)+IF(K138="Gap",2,0)-IF(I138&lt;=2,5,0)</x:f>
        <x:v>10</x:v>
      </x:c>
      <x:c r="R138" s="7" t="str">
        <x:f>IF(I138&lt;=2,"D",IF(Q138&gt;=15,"A",IF(Q138&gt;=11,"B",IF(Q138&gt;=7,"C","D"))))</x:f>
        <x:v>C</x:v>
      </x:c>
      <x:c r="S138" s="12" t="n">
        <x:f>B138*'Dashboard'!$B$11</x:f>
        <x:v>0</x:v>
      </x:c>
      <x:c r="T138" s="10" t="n">
        <x:f>S138*'Dashboard'!$D$11</x:f>
        <x:v>0</x:v>
      </x:c>
      <x:c r="U138" s="7" t="str">
        <x:v>Low-volume commercial long tail; retain only when real supply evidence is available.</x:v>
      </x:c>
    </x:row>
    <x:row r="139" ht="19" customHeight="1">
      <x:c r="A139" s="7" t="str">
        <x:v>a10vo28dr/31r-psc61k40 supplier</x:v>
      </x:c>
      <x:c r="B139" s="8" t="n">
        <x:v>0</x:v>
      </x:c>
      <x:c r="C139" s="9" t="n">
        <x:v>0</x:v>
      </x:c>
      <x:c r="D139" s="10" t="n">
        <x:v>0</x:v>
      </x:c>
      <x:c r="E139" s="8" t="n">
        <x:v>0</x:v>
      </x:c>
      <x:c r="F139" s="11" t="n">
        <x:v>0</x:v>
      </x:c>
      <x:c r="G139" s="7" t="str">
        <x:v>Transactional</x:v>
      </x:c>
      <x:c r="H139" s="7" t="str">
        <x:v>Hydraulic Pumps</x:v>
      </x:c>
      <x:c r="I139" s="7" t="n">
        <x:v>5</x:v>
      </x:c>
      <x:c r="J139" s="7" t="str">
        <x:v>/models/rexroth-a10vo28dr-31r-psc61k40/</x:v>
      </x:c>
      <x:c r="K139" s="7" t="str">
        <x:v>Covered</x:v>
      </x:c>
      <x:c r="L139" s="7" t="str">
        <x:v>Optimize existing page</x:v>
      </x:c>
      <x:c r="M139" s="7" t="str">
        <x:v>Model record</x:v>
      </x:c>
      <x:c r="N139" s="7" t="n">
        <x:v>5</x:v>
      </x:c>
      <x:c r="O139" s="7" t="n">
        <x:f>IF(B139&gt;=1000,5,IF(B139&gt;=300,4,IF(B139&gt;=100,3,IF(B139&gt;=30,2,IF(B139&gt;=10,1,0)))))</x:f>
        <x:v>0</x:v>
      </x:c>
      <x:c r="P139" s="7" t="n">
        <x:f>IF(C139&gt;=5,4,IF(C139&gt;=2,3,IF(C139&gt;=1,2,IF(C139&gt;0,1,0))))</x:f>
        <x:v>0</x:v>
      </x:c>
      <x:c r="Q139" s="7" t="n">
        <x:f>N139*2+O139+P139+IF(F139&gt;=0.2,1,0)+IF(K139="Gap",2,0)-IF(I139&lt;=2,5,0)</x:f>
        <x:v>10</x:v>
      </x:c>
      <x:c r="R139" s="7" t="str">
        <x:f>IF(I139&lt;=2,"D",IF(Q139&gt;=15,"A",IF(Q139&gt;=11,"B",IF(Q139&gt;=7,"C","D"))))</x:f>
        <x:v>C</x:v>
      </x:c>
      <x:c r="S139" s="12" t="n">
        <x:f>B139*'Dashboard'!$B$11</x:f>
        <x:v>0</x:v>
      </x:c>
      <x:c r="T139" s="10" t="n">
        <x:f>S139*'Dashboard'!$D$11</x:f>
        <x:v>0</x:v>
      </x:c>
      <x:c r="U139" s="7" t="str">
        <x:v>Low-volume commercial long tail; retain only when real supply evidence is available.</x:v>
      </x:c>
    </x:row>
    <x:row r="140" ht="19" customHeight="1">
      <x:c r="A140" s="7" t="str">
        <x:v>a10vso 18 drg/31r-vpa12n00</x:v>
      </x:c>
      <x:c r="B140" s="8" t="n">
        <x:v>0</x:v>
      </x:c>
      <x:c r="C140" s="9" t="n">
        <x:v>0</x:v>
      </x:c>
      <x:c r="D140" s="10" t="n">
        <x:v>0</x:v>
      </x:c>
      <x:c r="E140" s="8" t="n">
        <x:v>0</x:v>
      </x:c>
      <x:c r="F140" s="11" t="n">
        <x:v>0</x:v>
      </x:c>
      <x:c r="G140" s="7" t="str">
        <x:v>Product research</x:v>
      </x:c>
      <x:c r="H140" s="7" t="str">
        <x:v>Hydraulic Pumps</x:v>
      </x:c>
      <x:c r="I140" s="7" t="n">
        <x:v>5</x:v>
      </x:c>
      <x:c r="J140" s="7" t="str">
        <x:v>/models/bosch-rexroth-a10vso18-drg-31r-vpa12n00/</x:v>
      </x:c>
      <x:c r="K140" s="7" t="str">
        <x:v>Covered</x:v>
      </x:c>
      <x:c r="L140" s="7" t="str">
        <x:v>Optimize existing page</x:v>
      </x:c>
      <x:c r="M140" s="7" t="str">
        <x:v>Model record</x:v>
      </x:c>
      <x:c r="N140" s="7" t="n">
        <x:v>5</x:v>
      </x:c>
      <x:c r="O140" s="7" t="n">
        <x:f>IF(B140&gt;=1000,5,IF(B140&gt;=300,4,IF(B140&gt;=100,3,IF(B140&gt;=30,2,IF(B140&gt;=10,1,0)))))</x:f>
        <x:v>0</x:v>
      </x:c>
      <x:c r="P140" s="7" t="n">
        <x:f>IF(C140&gt;=5,4,IF(C140&gt;=2,3,IF(C140&gt;=1,2,IF(C140&gt;0,1,0))))</x:f>
        <x:v>0</x:v>
      </x:c>
      <x:c r="Q140" s="7" t="n">
        <x:f>N140*2+O140+P140+IF(F140&gt;=0.2,1,0)+IF(K140="Gap",2,0)-IF(I140&lt;=2,5,0)</x:f>
        <x:v>10</x:v>
      </x:c>
      <x:c r="R140" s="7" t="str">
        <x:f>IF(I140&lt;=2,"D",IF(Q140&gt;=15,"A",IF(Q140&gt;=11,"B",IF(Q140&gt;=7,"C","D"))))</x:f>
        <x:v>C</x:v>
      </x:c>
      <x:c r="S140" s="12" t="n">
        <x:f>B140*'Dashboard'!$B$11</x:f>
        <x:v>0</x:v>
      </x:c>
      <x:c r="T140" s="10" t="n">
        <x:f>S140*'Dashboard'!$D$11</x:f>
        <x:v>0</x:v>
      </x:c>
      <x:c r="U140" s="7" t="str">
        <x:v>Low-volume commercial long tail; retain only when real supply evidence is available.</x:v>
      </x:c>
    </x:row>
    <x:row r="141" ht="19" customHeight="1">
      <x:c r="A141" s="7" t="str">
        <x:v>a10vso 18 drg/31r-vpa12n00 replacement</x:v>
      </x:c>
      <x:c r="B141" s="8" t="n">
        <x:v>0</x:v>
      </x:c>
      <x:c r="C141" s="9" t="n">
        <x:v>0</x:v>
      </x:c>
      <x:c r="D141" s="10" t="n">
        <x:v>0</x:v>
      </x:c>
      <x:c r="E141" s="8" t="n">
        <x:v>0</x:v>
      </x:c>
      <x:c r="F141" s="11" t="n">
        <x:v>0</x:v>
      </x:c>
      <x:c r="G141" s="7" t="str">
        <x:v>Commercial</x:v>
      </x:c>
      <x:c r="H141" s="7" t="str">
        <x:v>Replacement &amp; Cross-reference</x:v>
      </x:c>
      <x:c r="I141" s="7" t="n">
        <x:v>5</x:v>
      </x:c>
      <x:c r="J141" s="7" t="str">
        <x:v>/models/bosch-rexroth-a10vso18-drg-31r-vpa12n00/</x:v>
      </x:c>
      <x:c r="K141" s="7" t="str">
        <x:v>Covered</x:v>
      </x:c>
      <x:c r="L141" s="7" t="str">
        <x:v>Optimize existing page</x:v>
      </x:c>
      <x:c r="M141" s="7" t="str">
        <x:v>Model record</x:v>
      </x:c>
      <x:c r="N141" s="7" t="n">
        <x:v>5</x:v>
      </x:c>
      <x:c r="O141" s="7" t="n">
        <x:f>IF(B141&gt;=1000,5,IF(B141&gt;=300,4,IF(B141&gt;=100,3,IF(B141&gt;=30,2,IF(B141&gt;=10,1,0)))))</x:f>
        <x:v>0</x:v>
      </x:c>
      <x:c r="P141" s="7" t="n">
        <x:f>IF(C141&gt;=5,4,IF(C141&gt;=2,3,IF(C141&gt;=1,2,IF(C141&gt;0,1,0))))</x:f>
        <x:v>0</x:v>
      </x:c>
      <x:c r="Q141" s="7" t="n">
        <x:f>N141*2+O141+P141+IF(F141&gt;=0.2,1,0)+IF(K141="Gap",2,0)-IF(I141&lt;=2,5,0)</x:f>
        <x:v>10</x:v>
      </x:c>
      <x:c r="R141" s="7" t="str">
        <x:f>IF(I141&lt;=2,"D",IF(Q141&gt;=15,"A",IF(Q141&gt;=11,"B",IF(Q141&gt;=7,"C","D"))))</x:f>
        <x:v>C</x:v>
      </x:c>
      <x:c r="S141" s="12" t="n">
        <x:f>B141*'Dashboard'!$B$11</x:f>
        <x:v>0</x:v>
      </x:c>
      <x:c r="T141" s="10" t="n">
        <x:f>S141*'Dashboard'!$D$11</x:f>
        <x:v>0</x:v>
      </x:c>
      <x:c r="U141" s="7" t="str">
        <x:v>Low-volume commercial long tail; retain only when real supply evidence is available.</x:v>
      </x:c>
    </x:row>
    <x:row r="142" ht="19" customHeight="1">
      <x:c r="A142" s="7" t="str">
        <x:v>a10vso 18 drg/31r-vpa12n00 seal kit</x:v>
      </x:c>
      <x:c r="B142" s="8" t="n">
        <x:v>0</x:v>
      </x:c>
      <x:c r="C142" s="9" t="n">
        <x:v>0</x:v>
      </x:c>
      <x:c r="D142" s="10" t="n">
        <x:v>0</x:v>
      </x:c>
      <x:c r="E142" s="8" t="n">
        <x:v>0</x:v>
      </x:c>
      <x:c r="F142" s="11" t="n">
        <x:v>0</x:v>
      </x:c>
      <x:c r="G142" s="7" t="str">
        <x:v>Commercial</x:v>
      </x:c>
      <x:c r="H142" s="7" t="str">
        <x:v>Repair Kits &amp; Service Parts</x:v>
      </x:c>
      <x:c r="I142" s="7" t="n">
        <x:v>5</x:v>
      </x:c>
      <x:c r="J142" s="7" t="str">
        <x:v>/models/bosch-rexroth-a10vso18-drg-31r-vpa12n00/</x:v>
      </x:c>
      <x:c r="K142" s="7" t="str">
        <x:v>Covered</x:v>
      </x:c>
      <x:c r="L142" s="7" t="str">
        <x:v>Optimize existing page</x:v>
      </x:c>
      <x:c r="M142" s="7" t="str">
        <x:v>Model record</x:v>
      </x:c>
      <x:c r="N142" s="7" t="n">
        <x:v>5</x:v>
      </x:c>
      <x:c r="O142" s="7" t="n">
        <x:f>IF(B142&gt;=1000,5,IF(B142&gt;=300,4,IF(B142&gt;=100,3,IF(B142&gt;=30,2,IF(B142&gt;=10,1,0)))))</x:f>
        <x:v>0</x:v>
      </x:c>
      <x:c r="P142" s="7" t="n">
        <x:f>IF(C142&gt;=5,4,IF(C142&gt;=2,3,IF(C142&gt;=1,2,IF(C142&gt;0,1,0))))</x:f>
        <x:v>0</x:v>
      </x:c>
      <x:c r="Q142" s="7" t="n">
        <x:f>N142*2+O142+P142+IF(F142&gt;=0.2,1,0)+IF(K142="Gap",2,0)-IF(I142&lt;=2,5,0)</x:f>
        <x:v>10</x:v>
      </x:c>
      <x:c r="R142" s="7" t="str">
        <x:f>IF(I142&lt;=2,"D",IF(Q142&gt;=15,"A",IF(Q142&gt;=11,"B",IF(Q142&gt;=7,"C","D"))))</x:f>
        <x:v>C</x:v>
      </x:c>
      <x:c r="S142" s="12" t="n">
        <x:f>B142*'Dashboard'!$B$11</x:f>
        <x:v>0</x:v>
      </x:c>
      <x:c r="T142" s="10" t="n">
        <x:f>S142*'Dashboard'!$D$11</x:f>
        <x:v>0</x:v>
      </x:c>
      <x:c r="U142" s="7" t="str">
        <x:v>Low-volume commercial long tail; retain only when real supply evidence is available.</x:v>
      </x:c>
    </x:row>
    <x:row r="143" ht="19" customHeight="1">
      <x:c r="A143" s="7" t="str">
        <x:v>a10vso 18 drg/31r-vpa12n00 supplier</x:v>
      </x:c>
      <x:c r="B143" s="8" t="n">
        <x:v>0</x:v>
      </x:c>
      <x:c r="C143" s="9" t="n">
        <x:v>0</x:v>
      </x:c>
      <x:c r="D143" s="10" t="n">
        <x:v>0</x:v>
      </x:c>
      <x:c r="E143" s="8" t="n">
        <x:v>0</x:v>
      </x:c>
      <x:c r="F143" s="11" t="n">
        <x:v>0</x:v>
      </x:c>
      <x:c r="G143" s="7" t="str">
        <x:v>Transactional</x:v>
      </x:c>
      <x:c r="H143" s="7" t="str">
        <x:v>Hydraulic Pumps</x:v>
      </x:c>
      <x:c r="I143" s="7" t="n">
        <x:v>5</x:v>
      </x:c>
      <x:c r="J143" s="7" t="str">
        <x:v>/models/bosch-rexroth-a10vso18-drg-31r-vpa12n00/</x:v>
      </x:c>
      <x:c r="K143" s="7" t="str">
        <x:v>Covered</x:v>
      </x:c>
      <x:c r="L143" s="7" t="str">
        <x:v>Optimize existing page</x:v>
      </x:c>
      <x:c r="M143" s="7" t="str">
        <x:v>Model record</x:v>
      </x:c>
      <x:c r="N143" s="7" t="n">
        <x:v>5</x:v>
      </x:c>
      <x:c r="O143" s="7" t="n">
        <x:f>IF(B143&gt;=1000,5,IF(B143&gt;=300,4,IF(B143&gt;=100,3,IF(B143&gt;=30,2,IF(B143&gt;=10,1,0)))))</x:f>
        <x:v>0</x:v>
      </x:c>
      <x:c r="P143" s="7" t="n">
        <x:f>IF(C143&gt;=5,4,IF(C143&gt;=2,3,IF(C143&gt;=1,2,IF(C143&gt;0,1,0))))</x:f>
        <x:v>0</x:v>
      </x:c>
      <x:c r="Q143" s="7" t="n">
        <x:f>N143*2+O143+P143+IF(F143&gt;=0.2,1,0)+IF(K143="Gap",2,0)-IF(I143&lt;=2,5,0)</x:f>
        <x:v>10</x:v>
      </x:c>
      <x:c r="R143" s="7" t="str">
        <x:f>IF(I143&lt;=2,"D",IF(Q143&gt;=15,"A",IF(Q143&gt;=11,"B",IF(Q143&gt;=7,"C","D"))))</x:f>
        <x:v>C</x:v>
      </x:c>
      <x:c r="S143" s="12" t="n">
        <x:f>B143*'Dashboard'!$B$11</x:f>
        <x:v>0</x:v>
      </x:c>
      <x:c r="T143" s="10" t="n">
        <x:f>S143*'Dashboard'!$D$11</x:f>
        <x:v>0</x:v>
      </x:c>
      <x:c r="U143" s="7" t="str">
        <x:v>Low-volume commercial long tail; retain only when real supply evidence is available.</x:v>
      </x:c>
    </x:row>
    <x:row r="144" ht="19" customHeight="1">
      <x:c r="A144" s="7" t="str">
        <x:v>a10vso equivalent</x:v>
      </x:c>
      <x:c r="B144" s="8" t="n">
        <x:v>0</x:v>
      </x:c>
      <x:c r="C144" s="9" t="n">
        <x:v>0</x:v>
      </x:c>
      <x:c r="D144" s="10" t="n">
        <x:v>0</x:v>
      </x:c>
      <x:c r="E144" s="8" t="n">
        <x:v>0</x:v>
      </x:c>
      <x:c r="F144" s="11" t="n">
        <x:v>0</x:v>
      </x:c>
      <x:c r="G144" s="7" t="str">
        <x:v>Commercial</x:v>
      </x:c>
      <x:c r="H144" s="7" t="str">
        <x:v>Replacement &amp; Cross-reference</x:v>
      </x:c>
      <x:c r="I144" s="7" t="n">
        <x:v>5</x:v>
      </x:c>
      <x:c r="J144" s="7" t="str">
        <x:v>/models/bosch-rexroth-a10vso18-drg-31r-vpa12n00/</x:v>
      </x:c>
      <x:c r="K144" s="7" t="str">
        <x:v>Covered</x:v>
      </x:c>
      <x:c r="L144" s="7" t="str">
        <x:v>Optimize existing page</x:v>
      </x:c>
      <x:c r="M144" s="7" t="str">
        <x:v>Model record</x:v>
      </x:c>
      <x:c r="N144" s="7" t="n">
        <x:v>5</x:v>
      </x:c>
      <x:c r="O144" s="7" t="n">
        <x:f>IF(B144&gt;=1000,5,IF(B144&gt;=300,4,IF(B144&gt;=100,3,IF(B144&gt;=30,2,IF(B144&gt;=10,1,0)))))</x:f>
        <x:v>0</x:v>
      </x:c>
      <x:c r="P144" s="7" t="n">
        <x:f>IF(C144&gt;=5,4,IF(C144&gt;=2,3,IF(C144&gt;=1,2,IF(C144&gt;0,1,0))))</x:f>
        <x:v>0</x:v>
      </x:c>
      <x:c r="Q144" s="7" t="n">
        <x:f>N144*2+O144+P144+IF(F144&gt;=0.2,1,0)+IF(K144="Gap",2,0)-IF(I144&lt;=2,5,0)</x:f>
        <x:v>10</x:v>
      </x:c>
      <x:c r="R144" s="7" t="str">
        <x:f>IF(I144&lt;=2,"D",IF(Q144&gt;=15,"A",IF(Q144&gt;=11,"B",IF(Q144&gt;=7,"C","D"))))</x:f>
        <x:v>C</x:v>
      </x:c>
      <x:c r="S144" s="12" t="n">
        <x:f>B144*'Dashboard'!$B$11</x:f>
        <x:v>0</x:v>
      </x:c>
      <x:c r="T144" s="10" t="n">
        <x:f>S144*'Dashboard'!$D$11</x:f>
        <x:v>0</x:v>
      </x:c>
      <x:c r="U144" s="7" t="str">
        <x:v>Low-volume commercial long tail; retain only when real supply evidence is available.</x:v>
      </x:c>
    </x:row>
    <x:row r="145" ht="19" customHeight="1">
      <x:c r="A145" s="7" t="str">
        <x:v>a10vso parts</x:v>
      </x:c>
      <x:c r="B145" s="8" t="n">
        <x:v>0</x:v>
      </x:c>
      <x:c r="C145" s="9" t="n">
        <x:v>0</x:v>
      </x:c>
      <x:c r="D145" s="10" t="n">
        <x:v>0</x:v>
      </x:c>
      <x:c r="E145" s="8" t="n">
        <x:v>0</x:v>
      </x:c>
      <x:c r="F145" s="11" t="n">
        <x:v>0</x:v>
      </x:c>
      <x:c r="G145" s="7" t="str">
        <x:v>Commercial</x:v>
      </x:c>
      <x:c r="H145" s="7" t="str">
        <x:v>Hydraulic Pumps</x:v>
      </x:c>
      <x:c r="I145" s="7" t="n">
        <x:v>5</x:v>
      </x:c>
      <x:c r="J145" s="7" t="str">
        <x:v>/models/bosch-rexroth-a10vso18-drg-31r-vpa12n00/</x:v>
      </x:c>
      <x:c r="K145" s="7" t="str">
        <x:v>Covered</x:v>
      </x:c>
      <x:c r="L145" s="7" t="str">
        <x:v>Optimize existing page</x:v>
      </x:c>
      <x:c r="M145" s="7" t="str">
        <x:v>Model record</x:v>
      </x:c>
      <x:c r="N145" s="7" t="n">
        <x:v>5</x:v>
      </x:c>
      <x:c r="O145" s="7" t="n">
        <x:f>IF(B145&gt;=1000,5,IF(B145&gt;=300,4,IF(B145&gt;=100,3,IF(B145&gt;=30,2,IF(B145&gt;=10,1,0)))))</x:f>
        <x:v>0</x:v>
      </x:c>
      <x:c r="P145" s="7" t="n">
        <x:f>IF(C145&gt;=5,4,IF(C145&gt;=2,3,IF(C145&gt;=1,2,IF(C145&gt;0,1,0))))</x:f>
        <x:v>0</x:v>
      </x:c>
      <x:c r="Q145" s="7" t="n">
        <x:f>N145*2+O145+P145+IF(F145&gt;=0.2,1,0)+IF(K145="Gap",2,0)-IF(I145&lt;=2,5,0)</x:f>
        <x:v>10</x:v>
      </x:c>
      <x:c r="R145" s="7" t="str">
        <x:f>IF(I145&lt;=2,"D",IF(Q145&gt;=15,"A",IF(Q145&gt;=11,"B",IF(Q145&gt;=7,"C","D"))))</x:f>
        <x:v>C</x:v>
      </x:c>
      <x:c r="S145" s="12" t="n">
        <x:f>B145*'Dashboard'!$B$11</x:f>
        <x:v>0</x:v>
      </x:c>
      <x:c r="T145" s="10" t="n">
        <x:f>S145*'Dashboard'!$D$11</x:f>
        <x:v>0</x:v>
      </x:c>
      <x:c r="U145" s="7" t="str">
        <x:v>Low-volume commercial long tail; retain only when real supply evidence is available.</x:v>
      </x:c>
    </x:row>
    <x:row r="146" ht="19" customHeight="1">
      <x:c r="A146" s="7" t="str">
        <x:v>a10vso replacement</x:v>
      </x:c>
      <x:c r="B146" s="8" t="n">
        <x:v>0</x:v>
      </x:c>
      <x:c r="C146" s="9" t="n">
        <x:v>0</x:v>
      </x:c>
      <x:c r="D146" s="10" t="n">
        <x:v>0</x:v>
      </x:c>
      <x:c r="E146" s="8" t="n">
        <x:v>0</x:v>
      </x:c>
      <x:c r="F146" s="11" t="n">
        <x:v>0</x:v>
      </x:c>
      <x:c r="G146" s="7" t="str">
        <x:v>Commercial</x:v>
      </x:c>
      <x:c r="H146" s="7" t="str">
        <x:v>Replacement &amp; Cross-reference</x:v>
      </x:c>
      <x:c r="I146" s="7" t="n">
        <x:v>5</x:v>
      </x:c>
      <x:c r="J146" s="7" t="str">
        <x:v>/models/bosch-rexroth-a10vso18-drg-31r-vpa12n00/</x:v>
      </x:c>
      <x:c r="K146" s="7" t="str">
        <x:v>Covered</x:v>
      </x:c>
      <x:c r="L146" s="7" t="str">
        <x:v>Optimize existing page</x:v>
      </x:c>
      <x:c r="M146" s="7" t="str">
        <x:v>Model record</x:v>
      </x:c>
      <x:c r="N146" s="7" t="n">
        <x:v>5</x:v>
      </x:c>
      <x:c r="O146" s="7" t="n">
        <x:f>IF(B146&gt;=1000,5,IF(B146&gt;=300,4,IF(B146&gt;=100,3,IF(B146&gt;=30,2,IF(B146&gt;=10,1,0)))))</x:f>
        <x:v>0</x:v>
      </x:c>
      <x:c r="P146" s="7" t="n">
        <x:f>IF(C146&gt;=5,4,IF(C146&gt;=2,3,IF(C146&gt;=1,2,IF(C146&gt;0,1,0))))</x:f>
        <x:v>0</x:v>
      </x:c>
      <x:c r="Q146" s="7" t="n">
        <x:f>N146*2+O146+P146+IF(F146&gt;=0.2,1,0)+IF(K146="Gap",2,0)-IF(I146&lt;=2,5,0)</x:f>
        <x:v>10</x:v>
      </x:c>
      <x:c r="R146" s="7" t="str">
        <x:f>IF(I146&lt;=2,"D",IF(Q146&gt;=15,"A",IF(Q146&gt;=11,"B",IF(Q146&gt;=7,"C","D"))))</x:f>
        <x:v>C</x:v>
      </x:c>
      <x:c r="S146" s="12" t="n">
        <x:f>B146*'Dashboard'!$B$11</x:f>
        <x:v>0</x:v>
      </x:c>
      <x:c r="T146" s="10" t="n">
        <x:f>S146*'Dashboard'!$D$11</x:f>
        <x:v>0</x:v>
      </x:c>
      <x:c r="U146" s="7" t="str">
        <x:v>Low-volume commercial long tail; retain only when real supply evidence is available.</x:v>
      </x:c>
    </x:row>
    <x:row r="147" ht="19" customHeight="1">
      <x:c r="A147" s="7" t="str">
        <x:v>a10vso seal kit</x:v>
      </x:c>
      <x:c r="B147" s="8" t="n">
        <x:v>0</x:v>
      </x:c>
      <x:c r="C147" s="9" t="n">
        <x:v>0</x:v>
      </x:c>
      <x:c r="D147" s="10" t="n">
        <x:v>0</x:v>
      </x:c>
      <x:c r="E147" s="8" t="n">
        <x:v>0</x:v>
      </x:c>
      <x:c r="F147" s="11" t="n">
        <x:v>0</x:v>
      </x:c>
      <x:c r="G147" s="7" t="str">
        <x:v>Commercial</x:v>
      </x:c>
      <x:c r="H147" s="7" t="str">
        <x:v>Repair Kits &amp; Service Parts</x:v>
      </x:c>
      <x:c r="I147" s="7" t="n">
        <x:v>5</x:v>
      </x:c>
      <x:c r="J147" s="7" t="str">
        <x:v>/models/bosch-rexroth-a10vso18-drg-31r-vpa12n00/</x:v>
      </x:c>
      <x:c r="K147" s="7" t="str">
        <x:v>Covered</x:v>
      </x:c>
      <x:c r="L147" s="7" t="str">
        <x:v>Optimize existing page</x:v>
      </x:c>
      <x:c r="M147" s="7" t="str">
        <x:v>Model record</x:v>
      </x:c>
      <x:c r="N147" s="7" t="n">
        <x:v>5</x:v>
      </x:c>
      <x:c r="O147" s="7" t="n">
        <x:f>IF(B147&gt;=1000,5,IF(B147&gt;=300,4,IF(B147&gt;=100,3,IF(B147&gt;=30,2,IF(B147&gt;=10,1,0)))))</x:f>
        <x:v>0</x:v>
      </x:c>
      <x:c r="P147" s="7" t="n">
        <x:f>IF(C147&gt;=5,4,IF(C147&gt;=2,3,IF(C147&gt;=1,2,IF(C147&gt;0,1,0))))</x:f>
        <x:v>0</x:v>
      </x:c>
      <x:c r="Q147" s="7" t="n">
        <x:f>N147*2+O147+P147+IF(F147&gt;=0.2,1,0)+IF(K147="Gap",2,0)-IF(I147&lt;=2,5,0)</x:f>
        <x:v>10</x:v>
      </x:c>
      <x:c r="R147" s="7" t="str">
        <x:f>IF(I147&lt;=2,"D",IF(Q147&gt;=15,"A",IF(Q147&gt;=11,"B",IF(Q147&gt;=7,"C","D"))))</x:f>
        <x:v>C</x:v>
      </x:c>
      <x:c r="S147" s="12" t="n">
        <x:f>B147*'Dashboard'!$B$11</x:f>
        <x:v>0</x:v>
      </x:c>
      <x:c r="T147" s="10" t="n">
        <x:f>S147*'Dashboard'!$D$11</x:f>
        <x:v>0</x:v>
      </x:c>
      <x:c r="U147" s="7" t="str">
        <x:v>Low-volume commercial long tail; retain only when real supply evidence is available.</x:v>
      </x:c>
    </x:row>
    <x:row r="148" ht="19" customHeight="1">
      <x:c r="A148" s="7" t="str">
        <x:v>a10vso supplier</x:v>
      </x:c>
      <x:c r="B148" s="8" t="n">
        <x:v>0</x:v>
      </x:c>
      <x:c r="C148" s="9" t="n">
        <x:v>0</x:v>
      </x:c>
      <x:c r="D148" s="10" t="n">
        <x:v>0</x:v>
      </x:c>
      <x:c r="E148" s="8" t="n">
        <x:v>0</x:v>
      </x:c>
      <x:c r="F148" s="11" t="n">
        <x:v>0</x:v>
      </x:c>
      <x:c r="G148" s="7" t="str">
        <x:v>Transactional</x:v>
      </x:c>
      <x:c r="H148" s="7" t="str">
        <x:v>Hydraulic Pumps</x:v>
      </x:c>
      <x:c r="I148" s="7" t="n">
        <x:v>5</x:v>
      </x:c>
      <x:c r="J148" s="7" t="str">
        <x:v>/models/bosch-rexroth-a10vso18-drg-31r-vpa12n00/</x:v>
      </x:c>
      <x:c r="K148" s="7" t="str">
        <x:v>Covered</x:v>
      </x:c>
      <x:c r="L148" s="7" t="str">
        <x:v>Optimize existing page</x:v>
      </x:c>
      <x:c r="M148" s="7" t="str">
        <x:v>Model record</x:v>
      </x:c>
      <x:c r="N148" s="7" t="n">
        <x:v>5</x:v>
      </x:c>
      <x:c r="O148" s="7" t="n">
        <x:f>IF(B148&gt;=1000,5,IF(B148&gt;=300,4,IF(B148&gt;=100,3,IF(B148&gt;=30,2,IF(B148&gt;=10,1,0)))))</x:f>
        <x:v>0</x:v>
      </x:c>
      <x:c r="P148" s="7" t="n">
        <x:f>IF(C148&gt;=5,4,IF(C148&gt;=2,3,IF(C148&gt;=1,2,IF(C148&gt;0,1,0))))</x:f>
        <x:v>0</x:v>
      </x:c>
      <x:c r="Q148" s="7" t="n">
        <x:f>N148*2+O148+P148+IF(F148&gt;=0.2,1,0)+IF(K148="Gap",2,0)-IF(I148&lt;=2,5,0)</x:f>
        <x:v>10</x:v>
      </x:c>
      <x:c r="R148" s="7" t="str">
        <x:f>IF(I148&lt;=2,"D",IF(Q148&gt;=15,"A",IF(Q148&gt;=11,"B",IF(Q148&gt;=7,"C","D"))))</x:f>
        <x:v>C</x:v>
      </x:c>
      <x:c r="S148" s="12" t="n">
        <x:f>B148*'Dashboard'!$B$11</x:f>
        <x:v>0</x:v>
      </x:c>
      <x:c r="T148" s="10" t="n">
        <x:f>S148*'Dashboard'!$D$11</x:f>
        <x:v>0</x:v>
      </x:c>
      <x:c r="U148" s="7" t="str">
        <x:v>Low-volume commercial long tail; retain only when real supply evidence is available.</x:v>
      </x:c>
    </x:row>
    <x:row r="149" ht="19" customHeight="1">
      <x:c r="A149" s="7" t="str">
        <x:v>a4vg equivalent</x:v>
      </x:c>
      <x:c r="B149" s="8" t="n">
        <x:v>0</x:v>
      </x:c>
      <x:c r="C149" s="9" t="n">
        <x:v>0</x:v>
      </x:c>
      <x:c r="D149" s="10" t="n">
        <x:v>0</x:v>
      </x:c>
      <x:c r="E149" s="8" t="n">
        <x:v>0</x:v>
      </x:c>
      <x:c r="F149" s="11" t="n">
        <x:v>0</x:v>
      </x:c>
      <x:c r="G149" s="7" t="str">
        <x:v>Commercial</x:v>
      </x:c>
      <x:c r="H149" s="7" t="str">
        <x:v>Replacement &amp; Cross-reference</x:v>
      </x:c>
      <x:c r="I149" s="7" t="n">
        <x:v>5</x:v>
      </x:c>
      <x:c r="J149" s="7" t="str">
        <x:v>/series/a4vg/</x:v>
      </x:c>
      <x:c r="K149" s="7" t="str">
        <x:v>Covered</x:v>
      </x:c>
      <x:c r="L149" s="7" t="str">
        <x:v>Optimize existing page</x:v>
      </x:c>
      <x:c r="M149" s="7" t="str">
        <x:v>Series hub</x:v>
      </x:c>
      <x:c r="N149" s="7" t="n">
        <x:v>5</x:v>
      </x:c>
      <x:c r="O149" s="7" t="n">
        <x:f>IF(B149&gt;=1000,5,IF(B149&gt;=300,4,IF(B149&gt;=100,3,IF(B149&gt;=30,2,IF(B149&gt;=10,1,0)))))</x:f>
        <x:v>0</x:v>
      </x:c>
      <x:c r="P149" s="7" t="n">
        <x:f>IF(C149&gt;=5,4,IF(C149&gt;=2,3,IF(C149&gt;=1,2,IF(C149&gt;0,1,0))))</x:f>
        <x:v>0</x:v>
      </x:c>
      <x:c r="Q149" s="7" t="n">
        <x:f>N149*2+O149+P149+IF(F149&gt;=0.2,1,0)+IF(K149="Gap",2,0)-IF(I149&lt;=2,5,0)</x:f>
        <x:v>10</x:v>
      </x:c>
      <x:c r="R149" s="7" t="str">
        <x:f>IF(I149&lt;=2,"D",IF(Q149&gt;=15,"A",IF(Q149&gt;=11,"B",IF(Q149&gt;=7,"C","D"))))</x:f>
        <x:v>C</x:v>
      </x:c>
      <x:c r="S149" s="12" t="n">
        <x:f>B149*'Dashboard'!$B$11</x:f>
        <x:v>0</x:v>
      </x:c>
      <x:c r="T149" s="10" t="n">
        <x:f>S149*'Dashboard'!$D$11</x:f>
        <x:v>0</x:v>
      </x:c>
      <x:c r="U149" s="7" t="str">
        <x:v>Low-volume commercial long tail; retain only when real supply evidence is available.</x:v>
      </x:c>
    </x:row>
    <x:row r="150" ht="19" customHeight="1">
      <x:c r="A150" s="7" t="str">
        <x:v>a4vg parts</x:v>
      </x:c>
      <x:c r="B150" s="8" t="n">
        <x:v>0</x:v>
      </x:c>
      <x:c r="C150" s="9" t="n">
        <x:v>0</x:v>
      </x:c>
      <x:c r="D150" s="10" t="n">
        <x:v>0</x:v>
      </x:c>
      <x:c r="E150" s="8" t="n">
        <x:v>0</x:v>
      </x:c>
      <x:c r="F150" s="11" t="n">
        <x:v>0</x:v>
      </x:c>
      <x:c r="G150" s="7" t="str">
        <x:v>Commercial</x:v>
      </x:c>
      <x:c r="H150" s="7" t="str">
        <x:v>Hydraulic Pumps</x:v>
      </x:c>
      <x:c r="I150" s="7" t="n">
        <x:v>5</x:v>
      </x:c>
      <x:c r="J150" s="7" t="str">
        <x:v>/series/a4vg/</x:v>
      </x:c>
      <x:c r="K150" s="7" t="str">
        <x:v>Covered</x:v>
      </x:c>
      <x:c r="L150" s="7" t="str">
        <x:v>Optimize existing page</x:v>
      </x:c>
      <x:c r="M150" s="7" t="str">
        <x:v>Series hub</x:v>
      </x:c>
      <x:c r="N150" s="7" t="n">
        <x:v>5</x:v>
      </x:c>
      <x:c r="O150" s="7" t="n">
        <x:f>IF(B150&gt;=1000,5,IF(B150&gt;=300,4,IF(B150&gt;=100,3,IF(B150&gt;=30,2,IF(B150&gt;=10,1,0)))))</x:f>
        <x:v>0</x:v>
      </x:c>
      <x:c r="P150" s="7" t="n">
        <x:f>IF(C150&gt;=5,4,IF(C150&gt;=2,3,IF(C150&gt;=1,2,IF(C150&gt;0,1,0))))</x:f>
        <x:v>0</x:v>
      </x:c>
      <x:c r="Q150" s="7" t="n">
        <x:f>N150*2+O150+P150+IF(F150&gt;=0.2,1,0)+IF(K150="Gap",2,0)-IF(I150&lt;=2,5,0)</x:f>
        <x:v>10</x:v>
      </x:c>
      <x:c r="R150" s="7" t="str">
        <x:f>IF(I150&lt;=2,"D",IF(Q150&gt;=15,"A",IF(Q150&gt;=11,"B",IF(Q150&gt;=7,"C","D"))))</x:f>
        <x:v>C</x:v>
      </x:c>
      <x:c r="S150" s="12" t="n">
        <x:f>B150*'Dashboard'!$B$11</x:f>
        <x:v>0</x:v>
      </x:c>
      <x:c r="T150" s="10" t="n">
        <x:f>S150*'Dashboard'!$D$11</x:f>
        <x:v>0</x:v>
      </x:c>
      <x:c r="U150" s="7" t="str">
        <x:v>Low-volume commercial long tail; retain only when real supply evidence is available.</x:v>
      </x:c>
    </x:row>
    <x:row r="151" ht="19" customHeight="1">
      <x:c r="A151" s="7" t="str">
        <x:v>a4vg replacement</x:v>
      </x:c>
      <x:c r="B151" s="8" t="n">
        <x:v>0</x:v>
      </x:c>
      <x:c r="C151" s="9" t="n">
        <x:v>0</x:v>
      </x:c>
      <x:c r="D151" s="10" t="n">
        <x:v>0</x:v>
      </x:c>
      <x:c r="E151" s="8" t="n">
        <x:v>0</x:v>
      </x:c>
      <x:c r="F151" s="11" t="n">
        <x:v>0</x:v>
      </x:c>
      <x:c r="G151" s="7" t="str">
        <x:v>Commercial</x:v>
      </x:c>
      <x:c r="H151" s="7" t="str">
        <x:v>Replacement &amp; Cross-reference</x:v>
      </x:c>
      <x:c r="I151" s="7" t="n">
        <x:v>5</x:v>
      </x:c>
      <x:c r="J151" s="7" t="str">
        <x:v>/series/a4vg/</x:v>
      </x:c>
      <x:c r="K151" s="7" t="str">
        <x:v>Covered</x:v>
      </x:c>
      <x:c r="L151" s="7" t="str">
        <x:v>Optimize existing page</x:v>
      </x:c>
      <x:c r="M151" s="7" t="str">
        <x:v>Series hub</x:v>
      </x:c>
      <x:c r="N151" s="7" t="n">
        <x:v>5</x:v>
      </x:c>
      <x:c r="O151" s="7" t="n">
        <x:f>IF(B151&gt;=1000,5,IF(B151&gt;=300,4,IF(B151&gt;=100,3,IF(B151&gt;=30,2,IF(B151&gt;=10,1,0)))))</x:f>
        <x:v>0</x:v>
      </x:c>
      <x:c r="P151" s="7" t="n">
        <x:f>IF(C151&gt;=5,4,IF(C151&gt;=2,3,IF(C151&gt;=1,2,IF(C151&gt;0,1,0))))</x:f>
        <x:v>0</x:v>
      </x:c>
      <x:c r="Q151" s="7" t="n">
        <x:f>N151*2+O151+P151+IF(F151&gt;=0.2,1,0)+IF(K151="Gap",2,0)-IF(I151&lt;=2,5,0)</x:f>
        <x:v>10</x:v>
      </x:c>
      <x:c r="R151" s="7" t="str">
        <x:f>IF(I151&lt;=2,"D",IF(Q151&gt;=15,"A",IF(Q151&gt;=11,"B",IF(Q151&gt;=7,"C","D"))))</x:f>
        <x:v>C</x:v>
      </x:c>
      <x:c r="S151" s="12" t="n">
        <x:f>B151*'Dashboard'!$B$11</x:f>
        <x:v>0</x:v>
      </x:c>
      <x:c r="T151" s="10" t="n">
        <x:f>S151*'Dashboard'!$D$11</x:f>
        <x:v>0</x:v>
      </x:c>
      <x:c r="U151" s="7" t="str">
        <x:v>Low-volume commercial long tail; retain only when real supply evidence is available.</x:v>
      </x:c>
    </x:row>
    <x:row r="152" ht="19" customHeight="1">
      <x:c r="A152" s="7" t="str">
        <x:v>a4vg seal kit</x:v>
      </x:c>
      <x:c r="B152" s="8" t="n">
        <x:v>0</x:v>
      </x:c>
      <x:c r="C152" s="9" t="n">
        <x:v>0</x:v>
      </x:c>
      <x:c r="D152" s="10" t="n">
        <x:v>0</x:v>
      </x:c>
      <x:c r="E152" s="8" t="n">
        <x:v>0</x:v>
      </x:c>
      <x:c r="F152" s="11" t="n">
        <x:v>0</x:v>
      </x:c>
      <x:c r="G152" s="7" t="str">
        <x:v>Commercial</x:v>
      </x:c>
      <x:c r="H152" s="7" t="str">
        <x:v>Repair Kits &amp; Service Parts</x:v>
      </x:c>
      <x:c r="I152" s="7" t="n">
        <x:v>5</x:v>
      </x:c>
      <x:c r="J152" s="7" t="str">
        <x:v>/series/a4vg/</x:v>
      </x:c>
      <x:c r="K152" s="7" t="str">
        <x:v>Covered</x:v>
      </x:c>
      <x:c r="L152" s="7" t="str">
        <x:v>Optimize existing page</x:v>
      </x:c>
      <x:c r="M152" s="7" t="str">
        <x:v>Series hub</x:v>
      </x:c>
      <x:c r="N152" s="7" t="n">
        <x:v>5</x:v>
      </x:c>
      <x:c r="O152" s="7" t="n">
        <x:f>IF(B152&gt;=1000,5,IF(B152&gt;=300,4,IF(B152&gt;=100,3,IF(B152&gt;=30,2,IF(B152&gt;=10,1,0)))))</x:f>
        <x:v>0</x:v>
      </x:c>
      <x:c r="P152" s="7" t="n">
        <x:f>IF(C152&gt;=5,4,IF(C152&gt;=2,3,IF(C152&gt;=1,2,IF(C152&gt;0,1,0))))</x:f>
        <x:v>0</x:v>
      </x:c>
      <x:c r="Q152" s="7" t="n">
        <x:f>N152*2+O152+P152+IF(F152&gt;=0.2,1,0)+IF(K152="Gap",2,0)-IF(I152&lt;=2,5,0)</x:f>
        <x:v>10</x:v>
      </x:c>
      <x:c r="R152" s="7" t="str">
        <x:f>IF(I152&lt;=2,"D",IF(Q152&gt;=15,"A",IF(Q152&gt;=11,"B",IF(Q152&gt;=7,"C","D"))))</x:f>
        <x:v>C</x:v>
      </x:c>
      <x:c r="S152" s="12" t="n">
        <x:f>B152*'Dashboard'!$B$11</x:f>
        <x:v>0</x:v>
      </x:c>
      <x:c r="T152" s="10" t="n">
        <x:f>S152*'Dashboard'!$D$11</x:f>
        <x:v>0</x:v>
      </x:c>
      <x:c r="U152" s="7" t="str">
        <x:v>Low-volume commercial long tail; retain only when real supply evidence is available.</x:v>
      </x:c>
    </x:row>
    <x:row r="153" ht="19" customHeight="1">
      <x:c r="A153" s="7" t="str">
        <x:v>a4vg supplier</x:v>
      </x:c>
      <x:c r="B153" s="8" t="n">
        <x:v>0</x:v>
      </x:c>
      <x:c r="C153" s="9" t="n">
        <x:v>0</x:v>
      </x:c>
      <x:c r="D153" s="10" t="n">
        <x:v>0</x:v>
      </x:c>
      <x:c r="E153" s="8" t="n">
        <x:v>0</x:v>
      </x:c>
      <x:c r="F153" s="11" t="n">
        <x:v>0</x:v>
      </x:c>
      <x:c r="G153" s="7" t="str">
        <x:v>Transactional</x:v>
      </x:c>
      <x:c r="H153" s="7" t="str">
        <x:v>Hydraulic Pumps</x:v>
      </x:c>
      <x:c r="I153" s="7" t="n">
        <x:v>5</x:v>
      </x:c>
      <x:c r="J153" s="7" t="str">
        <x:v>/series/a4vg/</x:v>
      </x:c>
      <x:c r="K153" s="7" t="str">
        <x:v>Covered</x:v>
      </x:c>
      <x:c r="L153" s="7" t="str">
        <x:v>Optimize existing page</x:v>
      </x:c>
      <x:c r="M153" s="7" t="str">
        <x:v>Series hub</x:v>
      </x:c>
      <x:c r="N153" s="7" t="n">
        <x:v>5</x:v>
      </x:c>
      <x:c r="O153" s="7" t="n">
        <x:f>IF(B153&gt;=1000,5,IF(B153&gt;=300,4,IF(B153&gt;=100,3,IF(B153&gt;=30,2,IF(B153&gt;=10,1,0)))))</x:f>
        <x:v>0</x:v>
      </x:c>
      <x:c r="P153" s="7" t="n">
        <x:f>IF(C153&gt;=5,4,IF(C153&gt;=2,3,IF(C153&gt;=1,2,IF(C153&gt;0,1,0))))</x:f>
        <x:v>0</x:v>
      </x:c>
      <x:c r="Q153" s="7" t="n">
        <x:f>N153*2+O153+P153+IF(F153&gt;=0.2,1,0)+IF(K153="Gap",2,0)-IF(I153&lt;=2,5,0)</x:f>
        <x:v>10</x:v>
      </x:c>
      <x:c r="R153" s="7" t="str">
        <x:f>IF(I153&lt;=2,"D",IF(Q153&gt;=15,"A",IF(Q153&gt;=11,"B",IF(Q153&gt;=7,"C","D"))))</x:f>
        <x:v>C</x:v>
      </x:c>
      <x:c r="S153" s="12" t="n">
        <x:f>B153*'Dashboard'!$B$11</x:f>
        <x:v>0</x:v>
      </x:c>
      <x:c r="T153" s="10" t="n">
        <x:f>S153*'Dashboard'!$D$11</x:f>
        <x:v>0</x:v>
      </x:c>
      <x:c r="U153" s="7" t="str">
        <x:v>Low-volume commercial long tail; retain only when real supply evidence is available.</x:v>
      </x:c>
    </x:row>
    <x:row r="154" ht="19" customHeight="1">
      <x:c r="A154" s="7" t="str">
        <x:v>a4vso equivalent</x:v>
      </x:c>
      <x:c r="B154" s="8" t="n">
        <x:v>0</x:v>
      </x:c>
      <x:c r="C154" s="9" t="n">
        <x:v>0</x:v>
      </x:c>
      <x:c r="D154" s="10" t="n">
        <x:v>0</x:v>
      </x:c>
      <x:c r="E154" s="8" t="n">
        <x:v>0</x:v>
      </x:c>
      <x:c r="F154" s="11" t="n">
        <x:v>0</x:v>
      </x:c>
      <x:c r="G154" s="7" t="str">
        <x:v>Commercial</x:v>
      </x:c>
      <x:c r="H154" s="7" t="str">
        <x:v>Replacement &amp; Cross-reference</x:v>
      </x:c>
      <x:c r="I154" s="7" t="n">
        <x:v>5</x:v>
      </x:c>
      <x:c r="J154" s="7" t="str">
        <x:v>/models/rexroth-a4vso71dfr-10l-pkb63n00/</x:v>
      </x:c>
      <x:c r="K154" s="7" t="str">
        <x:v>Covered</x:v>
      </x:c>
      <x:c r="L154" s="7" t="str">
        <x:v>Optimize existing page</x:v>
      </x:c>
      <x:c r="M154" s="7" t="str">
        <x:v>Model record</x:v>
      </x:c>
      <x:c r="N154" s="7" t="n">
        <x:v>5</x:v>
      </x:c>
      <x:c r="O154" s="7" t="n">
        <x:f>IF(B154&gt;=1000,5,IF(B154&gt;=300,4,IF(B154&gt;=100,3,IF(B154&gt;=30,2,IF(B154&gt;=10,1,0)))))</x:f>
        <x:v>0</x:v>
      </x:c>
      <x:c r="P154" s="7" t="n">
        <x:f>IF(C154&gt;=5,4,IF(C154&gt;=2,3,IF(C154&gt;=1,2,IF(C154&gt;0,1,0))))</x:f>
        <x:v>0</x:v>
      </x:c>
      <x:c r="Q154" s="7" t="n">
        <x:f>N154*2+O154+P154+IF(F154&gt;=0.2,1,0)+IF(K154="Gap",2,0)-IF(I154&lt;=2,5,0)</x:f>
        <x:v>10</x:v>
      </x:c>
      <x:c r="R154" s="7" t="str">
        <x:f>IF(I154&lt;=2,"D",IF(Q154&gt;=15,"A",IF(Q154&gt;=11,"B",IF(Q154&gt;=7,"C","D"))))</x:f>
        <x:v>C</x:v>
      </x:c>
      <x:c r="S154" s="12" t="n">
        <x:f>B154*'Dashboard'!$B$11</x:f>
        <x:v>0</x:v>
      </x:c>
      <x:c r="T154" s="10" t="n">
        <x:f>S154*'Dashboard'!$D$11</x:f>
        <x:v>0</x:v>
      </x:c>
      <x:c r="U154" s="7" t="str">
        <x:v>Low-volume commercial long tail; retain only when real supply evidence is available.</x:v>
      </x:c>
    </x:row>
    <x:row r="155" ht="19" customHeight="1">
      <x:c r="A155" s="7" t="str">
        <x:v>a4vso parts</x:v>
      </x:c>
      <x:c r="B155" s="8" t="n">
        <x:v>0</x:v>
      </x:c>
      <x:c r="C155" s="9" t="n">
        <x:v>0</x:v>
      </x:c>
      <x:c r="D155" s="10" t="n">
        <x:v>0</x:v>
      </x:c>
      <x:c r="E155" s="8" t="n">
        <x:v>0</x:v>
      </x:c>
      <x:c r="F155" s="11" t="n">
        <x:v>0</x:v>
      </x:c>
      <x:c r="G155" s="7" t="str">
        <x:v>Commercial</x:v>
      </x:c>
      <x:c r="H155" s="7" t="str">
        <x:v>Hydraulic Pumps</x:v>
      </x:c>
      <x:c r="I155" s="7" t="n">
        <x:v>5</x:v>
      </x:c>
      <x:c r="J155" s="7" t="str">
        <x:v>/models/rexroth-a4vso71dfr-10l-pkb63n00/</x:v>
      </x:c>
      <x:c r="K155" s="7" t="str">
        <x:v>Covered</x:v>
      </x:c>
      <x:c r="L155" s="7" t="str">
        <x:v>Optimize existing page</x:v>
      </x:c>
      <x:c r="M155" s="7" t="str">
        <x:v>Model record</x:v>
      </x:c>
      <x:c r="N155" s="7" t="n">
        <x:v>5</x:v>
      </x:c>
      <x:c r="O155" s="7" t="n">
        <x:f>IF(B155&gt;=1000,5,IF(B155&gt;=300,4,IF(B155&gt;=100,3,IF(B155&gt;=30,2,IF(B155&gt;=10,1,0)))))</x:f>
        <x:v>0</x:v>
      </x:c>
      <x:c r="P155" s="7" t="n">
        <x:f>IF(C155&gt;=5,4,IF(C155&gt;=2,3,IF(C155&gt;=1,2,IF(C155&gt;0,1,0))))</x:f>
        <x:v>0</x:v>
      </x:c>
      <x:c r="Q155" s="7" t="n">
        <x:f>N155*2+O155+P155+IF(F155&gt;=0.2,1,0)+IF(K155="Gap",2,0)-IF(I155&lt;=2,5,0)</x:f>
        <x:v>10</x:v>
      </x:c>
      <x:c r="R155" s="7" t="str">
        <x:f>IF(I155&lt;=2,"D",IF(Q155&gt;=15,"A",IF(Q155&gt;=11,"B",IF(Q155&gt;=7,"C","D"))))</x:f>
        <x:v>C</x:v>
      </x:c>
      <x:c r="S155" s="12" t="n">
        <x:f>B155*'Dashboard'!$B$11</x:f>
        <x:v>0</x:v>
      </x:c>
      <x:c r="T155" s="10" t="n">
        <x:f>S155*'Dashboard'!$D$11</x:f>
        <x:v>0</x:v>
      </x:c>
      <x:c r="U155" s="7" t="str">
        <x:v>Low-volume commercial long tail; retain only when real supply evidence is available.</x:v>
      </x:c>
    </x:row>
    <x:row r="156" ht="19" customHeight="1">
      <x:c r="A156" s="7" t="str">
        <x:v>a4vso replacement</x:v>
      </x:c>
      <x:c r="B156" s="8" t="n">
        <x:v>0</x:v>
      </x:c>
      <x:c r="C156" s="9" t="n">
        <x:v>0</x:v>
      </x:c>
      <x:c r="D156" s="10" t="n">
        <x:v>0</x:v>
      </x:c>
      <x:c r="E156" s="8" t="n">
        <x:v>0</x:v>
      </x:c>
      <x:c r="F156" s="11" t="n">
        <x:v>0</x:v>
      </x:c>
      <x:c r="G156" s="7" t="str">
        <x:v>Commercial</x:v>
      </x:c>
      <x:c r="H156" s="7" t="str">
        <x:v>Replacement &amp; Cross-reference</x:v>
      </x:c>
      <x:c r="I156" s="7" t="n">
        <x:v>5</x:v>
      </x:c>
      <x:c r="J156" s="7" t="str">
        <x:v>/models/rexroth-a4vso71dfr-10l-pkb63n00/</x:v>
      </x:c>
      <x:c r="K156" s="7" t="str">
        <x:v>Covered</x:v>
      </x:c>
      <x:c r="L156" s="7" t="str">
        <x:v>Optimize existing page</x:v>
      </x:c>
      <x:c r="M156" s="7" t="str">
        <x:v>Model record</x:v>
      </x:c>
      <x:c r="N156" s="7" t="n">
        <x:v>5</x:v>
      </x:c>
      <x:c r="O156" s="7" t="n">
        <x:f>IF(B156&gt;=1000,5,IF(B156&gt;=300,4,IF(B156&gt;=100,3,IF(B156&gt;=30,2,IF(B156&gt;=10,1,0)))))</x:f>
        <x:v>0</x:v>
      </x:c>
      <x:c r="P156" s="7" t="n">
        <x:f>IF(C156&gt;=5,4,IF(C156&gt;=2,3,IF(C156&gt;=1,2,IF(C156&gt;0,1,0))))</x:f>
        <x:v>0</x:v>
      </x:c>
      <x:c r="Q156" s="7" t="n">
        <x:f>N156*2+O156+P156+IF(F156&gt;=0.2,1,0)+IF(K156="Gap",2,0)-IF(I156&lt;=2,5,0)</x:f>
        <x:v>10</x:v>
      </x:c>
      <x:c r="R156" s="7" t="str">
        <x:f>IF(I156&lt;=2,"D",IF(Q156&gt;=15,"A",IF(Q156&gt;=11,"B",IF(Q156&gt;=7,"C","D"))))</x:f>
        <x:v>C</x:v>
      </x:c>
      <x:c r="S156" s="12" t="n">
        <x:f>B156*'Dashboard'!$B$11</x:f>
        <x:v>0</x:v>
      </x:c>
      <x:c r="T156" s="10" t="n">
        <x:f>S156*'Dashboard'!$D$11</x:f>
        <x:v>0</x:v>
      </x:c>
      <x:c r="U156" s="7" t="str">
        <x:v>Low-volume commercial long tail; retain only when real supply evidence is available.</x:v>
      </x:c>
    </x:row>
    <x:row r="157" ht="19" customHeight="1">
      <x:c r="A157" s="7" t="str">
        <x:v>a4vso seal kit</x:v>
      </x:c>
      <x:c r="B157" s="8" t="n">
        <x:v>0</x:v>
      </x:c>
      <x:c r="C157" s="9" t="n">
        <x:v>0</x:v>
      </x:c>
      <x:c r="D157" s="10" t="n">
        <x:v>0</x:v>
      </x:c>
      <x:c r="E157" s="8" t="n">
        <x:v>0</x:v>
      </x:c>
      <x:c r="F157" s="11" t="n">
        <x:v>0</x:v>
      </x:c>
      <x:c r="G157" s="7" t="str">
        <x:v>Commercial</x:v>
      </x:c>
      <x:c r="H157" s="7" t="str">
        <x:v>Repair Kits &amp; Service Parts</x:v>
      </x:c>
      <x:c r="I157" s="7" t="n">
        <x:v>5</x:v>
      </x:c>
      <x:c r="J157" s="7" t="str">
        <x:v>/models/rexroth-a4vso71dfr-10l-pkb63n00/</x:v>
      </x:c>
      <x:c r="K157" s="7" t="str">
        <x:v>Covered</x:v>
      </x:c>
      <x:c r="L157" s="7" t="str">
        <x:v>Optimize existing page</x:v>
      </x:c>
      <x:c r="M157" s="7" t="str">
        <x:v>Model record</x:v>
      </x:c>
      <x:c r="N157" s="7" t="n">
        <x:v>5</x:v>
      </x:c>
      <x:c r="O157" s="7" t="n">
        <x:f>IF(B157&gt;=1000,5,IF(B157&gt;=300,4,IF(B157&gt;=100,3,IF(B157&gt;=30,2,IF(B157&gt;=10,1,0)))))</x:f>
        <x:v>0</x:v>
      </x:c>
      <x:c r="P157" s="7" t="n">
        <x:f>IF(C157&gt;=5,4,IF(C157&gt;=2,3,IF(C157&gt;=1,2,IF(C157&gt;0,1,0))))</x:f>
        <x:v>0</x:v>
      </x:c>
      <x:c r="Q157" s="7" t="n">
        <x:f>N157*2+O157+P157+IF(F157&gt;=0.2,1,0)+IF(K157="Gap",2,0)-IF(I157&lt;=2,5,0)</x:f>
        <x:v>10</x:v>
      </x:c>
      <x:c r="R157" s="7" t="str">
        <x:f>IF(I157&lt;=2,"D",IF(Q157&gt;=15,"A",IF(Q157&gt;=11,"B",IF(Q157&gt;=7,"C","D"))))</x:f>
        <x:v>C</x:v>
      </x:c>
      <x:c r="S157" s="12" t="n">
        <x:f>B157*'Dashboard'!$B$11</x:f>
        <x:v>0</x:v>
      </x:c>
      <x:c r="T157" s="10" t="n">
        <x:f>S157*'Dashboard'!$D$11</x:f>
        <x:v>0</x:v>
      </x:c>
      <x:c r="U157" s="7" t="str">
        <x:v>Low-volume commercial long tail; retain only when real supply evidence is available.</x:v>
      </x:c>
    </x:row>
    <x:row r="158" ht="19" customHeight="1">
      <x:c r="A158" s="7" t="str">
        <x:v>a4vso supplier</x:v>
      </x:c>
      <x:c r="B158" s="8" t="n">
        <x:v>0</x:v>
      </x:c>
      <x:c r="C158" s="9" t="n">
        <x:v>0</x:v>
      </x:c>
      <x:c r="D158" s="10" t="n">
        <x:v>0</x:v>
      </x:c>
      <x:c r="E158" s="8" t="n">
        <x:v>0</x:v>
      </x:c>
      <x:c r="F158" s="11" t="n">
        <x:v>0</x:v>
      </x:c>
      <x:c r="G158" s="7" t="str">
        <x:v>Transactional</x:v>
      </x:c>
      <x:c r="H158" s="7" t="str">
        <x:v>Hydraulic Pumps</x:v>
      </x:c>
      <x:c r="I158" s="7" t="n">
        <x:v>5</x:v>
      </x:c>
      <x:c r="J158" s="7" t="str">
        <x:v>/models/rexroth-a4vso71dfr-10l-pkb63n00/</x:v>
      </x:c>
      <x:c r="K158" s="7" t="str">
        <x:v>Covered</x:v>
      </x:c>
      <x:c r="L158" s="7" t="str">
        <x:v>Optimize existing page</x:v>
      </x:c>
      <x:c r="M158" s="7" t="str">
        <x:v>Model record</x:v>
      </x:c>
      <x:c r="N158" s="7" t="n">
        <x:v>5</x:v>
      </x:c>
      <x:c r="O158" s="7" t="n">
        <x:f>IF(B158&gt;=1000,5,IF(B158&gt;=300,4,IF(B158&gt;=100,3,IF(B158&gt;=30,2,IF(B158&gt;=10,1,0)))))</x:f>
        <x:v>0</x:v>
      </x:c>
      <x:c r="P158" s="7" t="n">
        <x:f>IF(C158&gt;=5,4,IF(C158&gt;=2,3,IF(C158&gt;=1,2,IF(C158&gt;0,1,0))))</x:f>
        <x:v>0</x:v>
      </x:c>
      <x:c r="Q158" s="7" t="n">
        <x:f>N158*2+O158+P158+IF(F158&gt;=0.2,1,0)+IF(K158="Gap",2,0)-IF(I158&lt;=2,5,0)</x:f>
        <x:v>10</x:v>
      </x:c>
      <x:c r="R158" s="7" t="str">
        <x:f>IF(I158&lt;=2,"D",IF(Q158&gt;=15,"A",IF(Q158&gt;=11,"B",IF(Q158&gt;=7,"C","D"))))</x:f>
        <x:v>C</x:v>
      </x:c>
      <x:c r="S158" s="12" t="n">
        <x:f>B158*'Dashboard'!$B$11</x:f>
        <x:v>0</x:v>
      </x:c>
      <x:c r="T158" s="10" t="n">
        <x:f>S158*'Dashboard'!$D$11</x:f>
        <x:v>0</x:v>
      </x:c>
      <x:c r="U158" s="7" t="str">
        <x:v>Low-volume commercial long tail; retain only when real supply evidence is available.</x:v>
      </x:c>
    </x:row>
    <x:row r="159" ht="19" customHeight="1">
      <x:c r="A159" s="7" t="str">
        <x:v>aa10vo</x:v>
      </x:c>
      <x:c r="B159" s="8" t="n">
        <x:v>0</x:v>
      </x:c>
      <x:c r="C159" s="9" t="n">
        <x:v>0</x:v>
      </x:c>
      <x:c r="D159" s="10" t="n">
        <x:v>0</x:v>
      </x:c>
      <x:c r="E159" s="8" t="n">
        <x:v>0</x:v>
      </x:c>
      <x:c r="F159" s="11" t="n">
        <x:v>0</x:v>
      </x:c>
      <x:c r="G159" s="7" t="str">
        <x:v>Product research</x:v>
      </x:c>
      <x:c r="H159" s="7" t="str">
        <x:v>Technical / Other</x:v>
      </x:c>
      <x:c r="I159" s="7" t="n">
        <x:v>5</x:v>
      </x:c>
      <x:c r="J159" s="7" t="str">
        <x:v>/models/rexroth-aa10vo45dflr-31l-ppa62k68/</x:v>
      </x:c>
      <x:c r="K159" s="7" t="str">
        <x:v>Covered</x:v>
      </x:c>
      <x:c r="L159" s="7" t="str">
        <x:v>Optimize existing page</x:v>
      </x:c>
      <x:c r="M159" s="7" t="str">
        <x:v>Model record</x:v>
      </x:c>
      <x:c r="N159" s="7" t="n">
        <x:v>5</x:v>
      </x:c>
      <x:c r="O159" s="7" t="n">
        <x:f>IF(B159&gt;=1000,5,IF(B159&gt;=300,4,IF(B159&gt;=100,3,IF(B159&gt;=30,2,IF(B159&gt;=10,1,0)))))</x:f>
        <x:v>0</x:v>
      </x:c>
      <x:c r="P159" s="7" t="n">
        <x:f>IF(C159&gt;=5,4,IF(C159&gt;=2,3,IF(C159&gt;=1,2,IF(C159&gt;0,1,0))))</x:f>
        <x:v>0</x:v>
      </x:c>
      <x:c r="Q159" s="7" t="n">
        <x:f>N159*2+O159+P159+IF(F159&gt;=0.2,1,0)+IF(K159="Gap",2,0)-IF(I159&lt;=2,5,0)</x:f>
        <x:v>10</x:v>
      </x:c>
      <x:c r="R159" s="7" t="str">
        <x:f>IF(I159&lt;=2,"D",IF(Q159&gt;=15,"A",IF(Q159&gt;=11,"B",IF(Q159&gt;=7,"C","D"))))</x:f>
        <x:v>C</x:v>
      </x:c>
      <x:c r="S159" s="12" t="n">
        <x:f>B159*'Dashboard'!$B$11</x:f>
        <x:v>0</x:v>
      </x:c>
      <x:c r="T159" s="10" t="n">
        <x:f>S159*'Dashboard'!$D$11</x:f>
        <x:v>0</x:v>
      </x:c>
      <x:c r="U159" s="7" t="str">
        <x:v>Low-volume commercial long tail; retain only when real supply evidence is available.</x:v>
      </x:c>
    </x:row>
    <x:row r="160" ht="19" customHeight="1">
      <x:c r="A160" s="7" t="str">
        <x:v>aa10vo equivalent</x:v>
      </x:c>
      <x:c r="B160" s="8" t="n">
        <x:v>0</x:v>
      </x:c>
      <x:c r="C160" s="9" t="n">
        <x:v>0</x:v>
      </x:c>
      <x:c r="D160" s="10" t="n">
        <x:v>0</x:v>
      </x:c>
      <x:c r="E160" s="8" t="n">
        <x:v>0</x:v>
      </x:c>
      <x:c r="F160" s="11" t="n">
        <x:v>0</x:v>
      </x:c>
      <x:c r="G160" s="7" t="str">
        <x:v>Commercial</x:v>
      </x:c>
      <x:c r="H160" s="7" t="str">
        <x:v>Replacement &amp; Cross-reference</x:v>
      </x:c>
      <x:c r="I160" s="7" t="n">
        <x:v>5</x:v>
      </x:c>
      <x:c r="J160" s="7" t="str">
        <x:v>/models/rexroth-aa10vo45dflr-31l-ppa62k68/</x:v>
      </x:c>
      <x:c r="K160" s="7" t="str">
        <x:v>Covered</x:v>
      </x:c>
      <x:c r="L160" s="7" t="str">
        <x:v>Optimize existing page</x:v>
      </x:c>
      <x:c r="M160" s="7" t="str">
        <x:v>Model record</x:v>
      </x:c>
      <x:c r="N160" s="7" t="n">
        <x:v>5</x:v>
      </x:c>
      <x:c r="O160" s="7" t="n">
        <x:f>IF(B160&gt;=1000,5,IF(B160&gt;=300,4,IF(B160&gt;=100,3,IF(B160&gt;=30,2,IF(B160&gt;=10,1,0)))))</x:f>
        <x:v>0</x:v>
      </x:c>
      <x:c r="P160" s="7" t="n">
        <x:f>IF(C160&gt;=5,4,IF(C160&gt;=2,3,IF(C160&gt;=1,2,IF(C160&gt;0,1,0))))</x:f>
        <x:v>0</x:v>
      </x:c>
      <x:c r="Q160" s="7" t="n">
        <x:f>N160*2+O160+P160+IF(F160&gt;=0.2,1,0)+IF(K160="Gap",2,0)-IF(I160&lt;=2,5,0)</x:f>
        <x:v>10</x:v>
      </x:c>
      <x:c r="R160" s="7" t="str">
        <x:f>IF(I160&lt;=2,"D",IF(Q160&gt;=15,"A",IF(Q160&gt;=11,"B",IF(Q160&gt;=7,"C","D"))))</x:f>
        <x:v>C</x:v>
      </x:c>
      <x:c r="S160" s="12" t="n">
        <x:f>B160*'Dashboard'!$B$11</x:f>
        <x:v>0</x:v>
      </x:c>
      <x:c r="T160" s="10" t="n">
        <x:f>S160*'Dashboard'!$D$11</x:f>
        <x:v>0</x:v>
      </x:c>
      <x:c r="U160" s="7" t="str">
        <x:v>Low-volume commercial long tail; retain only when real supply evidence is available.</x:v>
      </x:c>
    </x:row>
    <x:row r="161" ht="19" customHeight="1">
      <x:c r="A161" s="7" t="str">
        <x:v>aa10vo parts</x:v>
      </x:c>
      <x:c r="B161" s="8" t="n">
        <x:v>0</x:v>
      </x:c>
      <x:c r="C161" s="9" t="n">
        <x:v>0</x:v>
      </x:c>
      <x:c r="D161" s="10" t="n">
        <x:v>0</x:v>
      </x:c>
      <x:c r="E161" s="8" t="n">
        <x:v>0</x:v>
      </x:c>
      <x:c r="F161" s="11" t="n">
        <x:v>0</x:v>
      </x:c>
      <x:c r="G161" s="7" t="str">
        <x:v>Commercial</x:v>
      </x:c>
      <x:c r="H161" s="7" t="str">
        <x:v>Technical / Other</x:v>
      </x:c>
      <x:c r="I161" s="7" t="n">
        <x:v>5</x:v>
      </x:c>
      <x:c r="J161" s="7" t="str">
        <x:v>/models/rexroth-aa10vo45dflr-31l-ppa62k68/</x:v>
      </x:c>
      <x:c r="K161" s="7" t="str">
        <x:v>Covered</x:v>
      </x:c>
      <x:c r="L161" s="7" t="str">
        <x:v>Optimize existing page</x:v>
      </x:c>
      <x:c r="M161" s="7" t="str">
        <x:v>Model record</x:v>
      </x:c>
      <x:c r="N161" s="7" t="n">
        <x:v>5</x:v>
      </x:c>
      <x:c r="O161" s="7" t="n">
        <x:f>IF(B161&gt;=1000,5,IF(B161&gt;=300,4,IF(B161&gt;=100,3,IF(B161&gt;=30,2,IF(B161&gt;=10,1,0)))))</x:f>
        <x:v>0</x:v>
      </x:c>
      <x:c r="P161" s="7" t="n">
        <x:f>IF(C161&gt;=5,4,IF(C161&gt;=2,3,IF(C161&gt;=1,2,IF(C161&gt;0,1,0))))</x:f>
        <x:v>0</x:v>
      </x:c>
      <x:c r="Q161" s="7" t="n">
        <x:f>N161*2+O161+P161+IF(F161&gt;=0.2,1,0)+IF(K161="Gap",2,0)-IF(I161&lt;=2,5,0)</x:f>
        <x:v>10</x:v>
      </x:c>
      <x:c r="R161" s="7" t="str">
        <x:f>IF(I161&lt;=2,"D",IF(Q161&gt;=15,"A",IF(Q161&gt;=11,"B",IF(Q161&gt;=7,"C","D"))))</x:f>
        <x:v>C</x:v>
      </x:c>
      <x:c r="S161" s="12" t="n">
        <x:f>B161*'Dashboard'!$B$11</x:f>
        <x:v>0</x:v>
      </x:c>
      <x:c r="T161" s="10" t="n">
        <x:f>S161*'Dashboard'!$D$11</x:f>
        <x:v>0</x:v>
      </x:c>
      <x:c r="U161" s="7" t="str">
        <x:v>Low-volume commercial long tail; retain only when real supply evidence is available.</x:v>
      </x:c>
    </x:row>
    <x:row r="162" ht="19" customHeight="1">
      <x:c r="A162" s="7" t="str">
        <x:v>aa10vo replacement</x:v>
      </x:c>
      <x:c r="B162" s="8" t="n">
        <x:v>0</x:v>
      </x:c>
      <x:c r="C162" s="9" t="n">
        <x:v>0</x:v>
      </x:c>
      <x:c r="D162" s="10" t="n">
        <x:v>0</x:v>
      </x:c>
      <x:c r="E162" s="8" t="n">
        <x:v>0</x:v>
      </x:c>
      <x:c r="F162" s="11" t="n">
        <x:v>0</x:v>
      </x:c>
      <x:c r="G162" s="7" t="str">
        <x:v>Commercial</x:v>
      </x:c>
      <x:c r="H162" s="7" t="str">
        <x:v>Replacement &amp; Cross-reference</x:v>
      </x:c>
      <x:c r="I162" s="7" t="n">
        <x:v>5</x:v>
      </x:c>
      <x:c r="J162" s="7" t="str">
        <x:v>/models/rexroth-aa10vo45dflr-31l-ppa62k68/</x:v>
      </x:c>
      <x:c r="K162" s="7" t="str">
        <x:v>Covered</x:v>
      </x:c>
      <x:c r="L162" s="7" t="str">
        <x:v>Optimize existing page</x:v>
      </x:c>
      <x:c r="M162" s="7" t="str">
        <x:v>Model record</x:v>
      </x:c>
      <x:c r="N162" s="7" t="n">
        <x:v>5</x:v>
      </x:c>
      <x:c r="O162" s="7" t="n">
        <x:f>IF(B162&gt;=1000,5,IF(B162&gt;=300,4,IF(B162&gt;=100,3,IF(B162&gt;=30,2,IF(B162&gt;=10,1,0)))))</x:f>
        <x:v>0</x:v>
      </x:c>
      <x:c r="P162" s="7" t="n">
        <x:f>IF(C162&gt;=5,4,IF(C162&gt;=2,3,IF(C162&gt;=1,2,IF(C162&gt;0,1,0))))</x:f>
        <x:v>0</x:v>
      </x:c>
      <x:c r="Q162" s="7" t="n">
        <x:f>N162*2+O162+P162+IF(F162&gt;=0.2,1,0)+IF(K162="Gap",2,0)-IF(I162&lt;=2,5,0)</x:f>
        <x:v>10</x:v>
      </x:c>
      <x:c r="R162" s="7" t="str">
        <x:f>IF(I162&lt;=2,"D",IF(Q162&gt;=15,"A",IF(Q162&gt;=11,"B",IF(Q162&gt;=7,"C","D"))))</x:f>
        <x:v>C</x:v>
      </x:c>
      <x:c r="S162" s="12" t="n">
        <x:f>B162*'Dashboard'!$B$11</x:f>
        <x:v>0</x:v>
      </x:c>
      <x:c r="T162" s="10" t="n">
        <x:f>S162*'Dashboard'!$D$11</x:f>
        <x:v>0</x:v>
      </x:c>
      <x:c r="U162" s="7" t="str">
        <x:v>Low-volume commercial long tail; retain only when real supply evidence is available.</x:v>
      </x:c>
    </x:row>
    <x:row r="163" ht="19" customHeight="1">
      <x:c r="A163" s="7" t="str">
        <x:v>aa10vo seal kit</x:v>
      </x:c>
      <x:c r="B163" s="8" t="n">
        <x:v>0</x:v>
      </x:c>
      <x:c r="C163" s="9" t="n">
        <x:v>0</x:v>
      </x:c>
      <x:c r="D163" s="10" t="n">
        <x:v>0</x:v>
      </x:c>
      <x:c r="E163" s="8" t="n">
        <x:v>0</x:v>
      </x:c>
      <x:c r="F163" s="11" t="n">
        <x:v>0</x:v>
      </x:c>
      <x:c r="G163" s="7" t="str">
        <x:v>Commercial</x:v>
      </x:c>
      <x:c r="H163" s="7" t="str">
        <x:v>Repair Kits &amp; Service Parts</x:v>
      </x:c>
      <x:c r="I163" s="7" t="n">
        <x:v>5</x:v>
      </x:c>
      <x:c r="J163" s="7" t="str">
        <x:v>/models/rexroth-aa10vo45dflr-31l-ppa62k68/</x:v>
      </x:c>
      <x:c r="K163" s="7" t="str">
        <x:v>Covered</x:v>
      </x:c>
      <x:c r="L163" s="7" t="str">
        <x:v>Optimize existing page</x:v>
      </x:c>
      <x:c r="M163" s="7" t="str">
        <x:v>Model record</x:v>
      </x:c>
      <x:c r="N163" s="7" t="n">
        <x:v>5</x:v>
      </x:c>
      <x:c r="O163" s="7" t="n">
        <x:f>IF(B163&gt;=1000,5,IF(B163&gt;=300,4,IF(B163&gt;=100,3,IF(B163&gt;=30,2,IF(B163&gt;=10,1,0)))))</x:f>
        <x:v>0</x:v>
      </x:c>
      <x:c r="P163" s="7" t="n">
        <x:f>IF(C163&gt;=5,4,IF(C163&gt;=2,3,IF(C163&gt;=1,2,IF(C163&gt;0,1,0))))</x:f>
        <x:v>0</x:v>
      </x:c>
      <x:c r="Q163" s="7" t="n">
        <x:f>N163*2+O163+P163+IF(F163&gt;=0.2,1,0)+IF(K163="Gap",2,0)-IF(I163&lt;=2,5,0)</x:f>
        <x:v>10</x:v>
      </x:c>
      <x:c r="R163" s="7" t="str">
        <x:f>IF(I163&lt;=2,"D",IF(Q163&gt;=15,"A",IF(Q163&gt;=11,"B",IF(Q163&gt;=7,"C","D"))))</x:f>
        <x:v>C</x:v>
      </x:c>
      <x:c r="S163" s="12" t="n">
        <x:f>B163*'Dashboard'!$B$11</x:f>
        <x:v>0</x:v>
      </x:c>
      <x:c r="T163" s="10" t="n">
        <x:f>S163*'Dashboard'!$D$11</x:f>
        <x:v>0</x:v>
      </x:c>
      <x:c r="U163" s="7" t="str">
        <x:v>Low-volume commercial long tail; retain only when real supply evidence is available.</x:v>
      </x:c>
    </x:row>
    <x:row r="164" ht="19" customHeight="1">
      <x:c r="A164" s="7" t="str">
        <x:v>aa10vo supplier</x:v>
      </x:c>
      <x:c r="B164" s="8" t="n">
        <x:v>0</x:v>
      </x:c>
      <x:c r="C164" s="9" t="n">
        <x:v>0</x:v>
      </x:c>
      <x:c r="D164" s="10" t="n">
        <x:v>0</x:v>
      </x:c>
      <x:c r="E164" s="8" t="n">
        <x:v>0</x:v>
      </x:c>
      <x:c r="F164" s="11" t="n">
        <x:v>0</x:v>
      </x:c>
      <x:c r="G164" s="7" t="str">
        <x:v>Transactional</x:v>
      </x:c>
      <x:c r="H164" s="7" t="str">
        <x:v>Technical / Other</x:v>
      </x:c>
      <x:c r="I164" s="7" t="n">
        <x:v>5</x:v>
      </x:c>
      <x:c r="J164" s="7" t="str">
        <x:v>/models/rexroth-aa10vo45dflr-31l-ppa62k68/</x:v>
      </x:c>
      <x:c r="K164" s="7" t="str">
        <x:v>Covered</x:v>
      </x:c>
      <x:c r="L164" s="7" t="str">
        <x:v>Optimize existing page</x:v>
      </x:c>
      <x:c r="M164" s="7" t="str">
        <x:v>Model record</x:v>
      </x:c>
      <x:c r="N164" s="7" t="n">
        <x:v>5</x:v>
      </x:c>
      <x:c r="O164" s="7" t="n">
        <x:f>IF(B164&gt;=1000,5,IF(B164&gt;=300,4,IF(B164&gt;=100,3,IF(B164&gt;=30,2,IF(B164&gt;=10,1,0)))))</x:f>
        <x:v>0</x:v>
      </x:c>
      <x:c r="P164" s="7" t="n">
        <x:f>IF(C164&gt;=5,4,IF(C164&gt;=2,3,IF(C164&gt;=1,2,IF(C164&gt;0,1,0))))</x:f>
        <x:v>0</x:v>
      </x:c>
      <x:c r="Q164" s="7" t="n">
        <x:f>N164*2+O164+P164+IF(F164&gt;=0.2,1,0)+IF(K164="Gap",2,0)-IF(I164&lt;=2,5,0)</x:f>
        <x:v>10</x:v>
      </x:c>
      <x:c r="R164" s="7" t="str">
        <x:f>IF(I164&lt;=2,"D",IF(Q164&gt;=15,"A",IF(Q164&gt;=11,"B",IF(Q164&gt;=7,"C","D"))))</x:f>
        <x:v>C</x:v>
      </x:c>
      <x:c r="S164" s="12" t="n">
        <x:f>B164*'Dashboard'!$B$11</x:f>
        <x:v>0</x:v>
      </x:c>
      <x:c r="T164" s="10" t="n">
        <x:f>S164*'Dashboard'!$D$11</x:f>
        <x:v>0</x:v>
      </x:c>
      <x:c r="U164" s="7" t="str">
        <x:v>Low-volume commercial long tail; retain only when real supply evidence is available.</x:v>
      </x:c>
    </x:row>
    <x:row r="165" ht="19" customHeight="1">
      <x:c r="A165" s="7" t="str">
        <x:v>aa10vso equivalent</x:v>
      </x:c>
      <x:c r="B165" s="8" t="n">
        <x:v>0</x:v>
      </x:c>
      <x:c r="C165" s="9" t="n">
        <x:v>0</x:v>
      </x:c>
      <x:c r="D165" s="10" t="n">
        <x:v>0</x:v>
      </x:c>
      <x:c r="E165" s="8" t="n">
        <x:v>0</x:v>
      </x:c>
      <x:c r="F165" s="11" t="n">
        <x:v>0</x:v>
      </x:c>
      <x:c r="G165" s="7" t="str">
        <x:v>Commercial</x:v>
      </x:c>
      <x:c r="H165" s="7" t="str">
        <x:v>Replacement &amp; Cross-reference</x:v>
      </x:c>
      <x:c r="I165" s="7" t="n">
        <x:v>5</x:v>
      </x:c>
      <x:c r="J165" s="7" t="str">
        <x:v>/models/rexroth-aa10vso71dfr1-31l-vwc61k07/</x:v>
      </x:c>
      <x:c r="K165" s="7" t="str">
        <x:v>Covered</x:v>
      </x:c>
      <x:c r="L165" s="7" t="str">
        <x:v>Optimize existing page</x:v>
      </x:c>
      <x:c r="M165" s="7" t="str">
        <x:v>Model record</x:v>
      </x:c>
      <x:c r="N165" s="7" t="n">
        <x:v>5</x:v>
      </x:c>
      <x:c r="O165" s="7" t="n">
        <x:f>IF(B165&gt;=1000,5,IF(B165&gt;=300,4,IF(B165&gt;=100,3,IF(B165&gt;=30,2,IF(B165&gt;=10,1,0)))))</x:f>
        <x:v>0</x:v>
      </x:c>
      <x:c r="P165" s="7" t="n">
        <x:f>IF(C165&gt;=5,4,IF(C165&gt;=2,3,IF(C165&gt;=1,2,IF(C165&gt;0,1,0))))</x:f>
        <x:v>0</x:v>
      </x:c>
      <x:c r="Q165" s="7" t="n">
        <x:f>N165*2+O165+P165+IF(F165&gt;=0.2,1,0)+IF(K165="Gap",2,0)-IF(I165&lt;=2,5,0)</x:f>
        <x:v>10</x:v>
      </x:c>
      <x:c r="R165" s="7" t="str">
        <x:f>IF(I165&lt;=2,"D",IF(Q165&gt;=15,"A",IF(Q165&gt;=11,"B",IF(Q165&gt;=7,"C","D"))))</x:f>
        <x:v>C</x:v>
      </x:c>
      <x:c r="S165" s="12" t="n">
        <x:f>B165*'Dashboard'!$B$11</x:f>
        <x:v>0</x:v>
      </x:c>
      <x:c r="T165" s="10" t="n">
        <x:f>S165*'Dashboard'!$D$11</x:f>
        <x:v>0</x:v>
      </x:c>
      <x:c r="U165" s="7" t="str">
        <x:v>Low-volume commercial long tail; retain only when real supply evidence is available.</x:v>
      </x:c>
    </x:row>
    <x:row r="166" ht="19" customHeight="1">
      <x:c r="A166" s="7" t="str">
        <x:v>aa10vso parts</x:v>
      </x:c>
      <x:c r="B166" s="8" t="n">
        <x:v>0</x:v>
      </x:c>
      <x:c r="C166" s="9" t="n">
        <x:v>0</x:v>
      </x:c>
      <x:c r="D166" s="10" t="n">
        <x:v>0</x:v>
      </x:c>
      <x:c r="E166" s="8" t="n">
        <x:v>0</x:v>
      </x:c>
      <x:c r="F166" s="11" t="n">
        <x:v>0</x:v>
      </x:c>
      <x:c r="G166" s="7" t="str">
        <x:v>Commercial</x:v>
      </x:c>
      <x:c r="H166" s="7" t="str">
        <x:v>Technical / Other</x:v>
      </x:c>
      <x:c r="I166" s="7" t="n">
        <x:v>5</x:v>
      </x:c>
      <x:c r="J166" s="7" t="str">
        <x:v>/models/rexroth-aa10vso71dfr1-31l-vwc61k07/</x:v>
      </x:c>
      <x:c r="K166" s="7" t="str">
        <x:v>Covered</x:v>
      </x:c>
      <x:c r="L166" s="7" t="str">
        <x:v>Optimize existing page</x:v>
      </x:c>
      <x:c r="M166" s="7" t="str">
        <x:v>Model record</x:v>
      </x:c>
      <x:c r="N166" s="7" t="n">
        <x:v>5</x:v>
      </x:c>
      <x:c r="O166" s="7" t="n">
        <x:f>IF(B166&gt;=1000,5,IF(B166&gt;=300,4,IF(B166&gt;=100,3,IF(B166&gt;=30,2,IF(B166&gt;=10,1,0)))))</x:f>
        <x:v>0</x:v>
      </x:c>
      <x:c r="P166" s="7" t="n">
        <x:f>IF(C166&gt;=5,4,IF(C166&gt;=2,3,IF(C166&gt;=1,2,IF(C166&gt;0,1,0))))</x:f>
        <x:v>0</x:v>
      </x:c>
      <x:c r="Q166" s="7" t="n">
        <x:f>N166*2+O166+P166+IF(F166&gt;=0.2,1,0)+IF(K166="Gap",2,0)-IF(I166&lt;=2,5,0)</x:f>
        <x:v>10</x:v>
      </x:c>
      <x:c r="R166" s="7" t="str">
        <x:f>IF(I166&lt;=2,"D",IF(Q166&gt;=15,"A",IF(Q166&gt;=11,"B",IF(Q166&gt;=7,"C","D"))))</x:f>
        <x:v>C</x:v>
      </x:c>
      <x:c r="S166" s="12" t="n">
        <x:f>B166*'Dashboard'!$B$11</x:f>
        <x:v>0</x:v>
      </x:c>
      <x:c r="T166" s="10" t="n">
        <x:f>S166*'Dashboard'!$D$11</x:f>
        <x:v>0</x:v>
      </x:c>
      <x:c r="U166" s="7" t="str">
        <x:v>Low-volume commercial long tail; retain only when real supply evidence is available.</x:v>
      </x:c>
    </x:row>
    <x:row r="167" ht="19" customHeight="1">
      <x:c r="A167" s="7" t="str">
        <x:v>aa10vso replacement</x:v>
      </x:c>
      <x:c r="B167" s="8" t="n">
        <x:v>0</x:v>
      </x:c>
      <x:c r="C167" s="9" t="n">
        <x:v>0</x:v>
      </x:c>
      <x:c r="D167" s="10" t="n">
        <x:v>0</x:v>
      </x:c>
      <x:c r="E167" s="8" t="n">
        <x:v>0</x:v>
      </x:c>
      <x:c r="F167" s="11" t="n">
        <x:v>0</x:v>
      </x:c>
      <x:c r="G167" s="7" t="str">
        <x:v>Commercial</x:v>
      </x:c>
      <x:c r="H167" s="7" t="str">
        <x:v>Replacement &amp; Cross-reference</x:v>
      </x:c>
      <x:c r="I167" s="7" t="n">
        <x:v>5</x:v>
      </x:c>
      <x:c r="J167" s="7" t="str">
        <x:v>/models/rexroth-aa10vso71dfr1-31l-vwc61k07/</x:v>
      </x:c>
      <x:c r="K167" s="7" t="str">
        <x:v>Covered</x:v>
      </x:c>
      <x:c r="L167" s="7" t="str">
        <x:v>Optimize existing page</x:v>
      </x:c>
      <x:c r="M167" s="7" t="str">
        <x:v>Model record</x:v>
      </x:c>
      <x:c r="N167" s="7" t="n">
        <x:v>5</x:v>
      </x:c>
      <x:c r="O167" s="7" t="n">
        <x:f>IF(B167&gt;=1000,5,IF(B167&gt;=300,4,IF(B167&gt;=100,3,IF(B167&gt;=30,2,IF(B167&gt;=10,1,0)))))</x:f>
        <x:v>0</x:v>
      </x:c>
      <x:c r="P167" s="7" t="n">
        <x:f>IF(C167&gt;=5,4,IF(C167&gt;=2,3,IF(C167&gt;=1,2,IF(C167&gt;0,1,0))))</x:f>
        <x:v>0</x:v>
      </x:c>
      <x:c r="Q167" s="7" t="n">
        <x:f>N167*2+O167+P167+IF(F167&gt;=0.2,1,0)+IF(K167="Gap",2,0)-IF(I167&lt;=2,5,0)</x:f>
        <x:v>10</x:v>
      </x:c>
      <x:c r="R167" s="7" t="str">
        <x:f>IF(I167&lt;=2,"D",IF(Q167&gt;=15,"A",IF(Q167&gt;=11,"B",IF(Q167&gt;=7,"C","D"))))</x:f>
        <x:v>C</x:v>
      </x:c>
      <x:c r="S167" s="12" t="n">
        <x:f>B167*'Dashboard'!$B$11</x:f>
        <x:v>0</x:v>
      </x:c>
      <x:c r="T167" s="10" t="n">
        <x:f>S167*'Dashboard'!$D$11</x:f>
        <x:v>0</x:v>
      </x:c>
      <x:c r="U167" s="7" t="str">
        <x:v>Low-volume commercial long tail; retain only when real supply evidence is available.</x:v>
      </x:c>
    </x:row>
    <x:row r="168" ht="19" customHeight="1">
      <x:c r="A168" s="7" t="str">
        <x:v>aa10vso seal kit</x:v>
      </x:c>
      <x:c r="B168" s="8" t="n">
        <x:v>0</x:v>
      </x:c>
      <x:c r="C168" s="9" t="n">
        <x:v>0</x:v>
      </x:c>
      <x:c r="D168" s="10" t="n">
        <x:v>0</x:v>
      </x:c>
      <x:c r="E168" s="8" t="n">
        <x:v>0</x:v>
      </x:c>
      <x:c r="F168" s="11" t="n">
        <x:v>0</x:v>
      </x:c>
      <x:c r="G168" s="7" t="str">
        <x:v>Commercial</x:v>
      </x:c>
      <x:c r="H168" s="7" t="str">
        <x:v>Repair Kits &amp; Service Parts</x:v>
      </x:c>
      <x:c r="I168" s="7" t="n">
        <x:v>5</x:v>
      </x:c>
      <x:c r="J168" s="7" t="str">
        <x:v>/models/rexroth-aa10vso71dfr1-31l-vwc61k07/</x:v>
      </x:c>
      <x:c r="K168" s="7" t="str">
        <x:v>Covered</x:v>
      </x:c>
      <x:c r="L168" s="7" t="str">
        <x:v>Optimize existing page</x:v>
      </x:c>
      <x:c r="M168" s="7" t="str">
        <x:v>Model record</x:v>
      </x:c>
      <x:c r="N168" s="7" t="n">
        <x:v>5</x:v>
      </x:c>
      <x:c r="O168" s="7" t="n">
        <x:f>IF(B168&gt;=1000,5,IF(B168&gt;=300,4,IF(B168&gt;=100,3,IF(B168&gt;=30,2,IF(B168&gt;=10,1,0)))))</x:f>
        <x:v>0</x:v>
      </x:c>
      <x:c r="P168" s="7" t="n">
        <x:f>IF(C168&gt;=5,4,IF(C168&gt;=2,3,IF(C168&gt;=1,2,IF(C168&gt;0,1,0))))</x:f>
        <x:v>0</x:v>
      </x:c>
      <x:c r="Q168" s="7" t="n">
        <x:f>N168*2+O168+P168+IF(F168&gt;=0.2,1,0)+IF(K168="Gap",2,0)-IF(I168&lt;=2,5,0)</x:f>
        <x:v>10</x:v>
      </x:c>
      <x:c r="R168" s="7" t="str">
        <x:f>IF(I168&lt;=2,"D",IF(Q168&gt;=15,"A",IF(Q168&gt;=11,"B",IF(Q168&gt;=7,"C","D"))))</x:f>
        <x:v>C</x:v>
      </x:c>
      <x:c r="S168" s="12" t="n">
        <x:f>B168*'Dashboard'!$B$11</x:f>
        <x:v>0</x:v>
      </x:c>
      <x:c r="T168" s="10" t="n">
        <x:f>S168*'Dashboard'!$D$11</x:f>
        <x:v>0</x:v>
      </x:c>
      <x:c r="U168" s="7" t="str">
        <x:v>Low-volume commercial long tail; retain only when real supply evidence is available.</x:v>
      </x:c>
    </x:row>
    <x:row r="169" ht="19" customHeight="1">
      <x:c r="A169" s="7" t="str">
        <x:v>aa10vso supplier</x:v>
      </x:c>
      <x:c r="B169" s="8" t="n">
        <x:v>0</x:v>
      </x:c>
      <x:c r="C169" s="9" t="n">
        <x:v>0</x:v>
      </x:c>
      <x:c r="D169" s="10" t="n">
        <x:v>0</x:v>
      </x:c>
      <x:c r="E169" s="8" t="n">
        <x:v>0</x:v>
      </x:c>
      <x:c r="F169" s="11" t="n">
        <x:v>0</x:v>
      </x:c>
      <x:c r="G169" s="7" t="str">
        <x:v>Transactional</x:v>
      </x:c>
      <x:c r="H169" s="7" t="str">
        <x:v>Technical / Other</x:v>
      </x:c>
      <x:c r="I169" s="7" t="n">
        <x:v>5</x:v>
      </x:c>
      <x:c r="J169" s="7" t="str">
        <x:v>/models/rexroth-aa10vso71dfr1-31l-vwc61k07/</x:v>
      </x:c>
      <x:c r="K169" s="7" t="str">
        <x:v>Covered</x:v>
      </x:c>
      <x:c r="L169" s="7" t="str">
        <x:v>Optimize existing page</x:v>
      </x:c>
      <x:c r="M169" s="7" t="str">
        <x:v>Model record</x:v>
      </x:c>
      <x:c r="N169" s="7" t="n">
        <x:v>5</x:v>
      </x:c>
      <x:c r="O169" s="7" t="n">
        <x:f>IF(B169&gt;=1000,5,IF(B169&gt;=300,4,IF(B169&gt;=100,3,IF(B169&gt;=30,2,IF(B169&gt;=10,1,0)))))</x:f>
        <x:v>0</x:v>
      </x:c>
      <x:c r="P169" s="7" t="n">
        <x:f>IF(C169&gt;=5,4,IF(C169&gt;=2,3,IF(C169&gt;=1,2,IF(C169&gt;0,1,0))))</x:f>
        <x:v>0</x:v>
      </x:c>
      <x:c r="Q169" s="7" t="n">
        <x:f>N169*2+O169+P169+IF(F169&gt;=0.2,1,0)+IF(K169="Gap",2,0)-IF(I169&lt;=2,5,0)</x:f>
        <x:v>10</x:v>
      </x:c>
      <x:c r="R169" s="7" t="str">
        <x:f>IF(I169&lt;=2,"D",IF(Q169&gt;=15,"A",IF(Q169&gt;=11,"B",IF(Q169&gt;=7,"C","D"))))</x:f>
        <x:v>C</x:v>
      </x:c>
      <x:c r="S169" s="12" t="n">
        <x:f>B169*'Dashboard'!$B$11</x:f>
        <x:v>0</x:v>
      </x:c>
      <x:c r="T169" s="10" t="n">
        <x:f>S169*'Dashboard'!$D$11</x:f>
        <x:v>0</x:v>
      </x:c>
      <x:c r="U169" s="7" t="str">
        <x:v>Low-volume commercial long tail; retain only when real supply evidence is available.</x:v>
      </x:c>
    </x:row>
    <x:row r="170" ht="19" customHeight="1">
      <x:c r="A170" s="7" t="str">
        <x:v>aftermarket hydraulic motor supplier</x:v>
      </x:c>
      <x:c r="B170" s="8" t="n">
        <x:v>0</x:v>
      </x:c>
      <x:c r="C170" s="9" t="n">
        <x:v>0</x:v>
      </x:c>
      <x:c r="D170" s="10" t="n">
        <x:v>0</x:v>
      </x:c>
      <x:c r="E170" s="8" t="n">
        <x:v>0</x:v>
      </x:c>
      <x:c r="F170" s="11" t="n">
        <x:v>0</x:v>
      </x:c>
      <x:c r="G170" s="7" t="str">
        <x:v>Transactional</x:v>
      </x:c>
      <x:c r="H170" s="7" t="str">
        <x:v>Replacement &amp; Cross-reference</x:v>
      </x:c>
      <x:c r="I170" s="7" t="n">
        <x:v>5</x:v>
      </x:c>
      <x:c r="J170" s="7" t="str">
        <x:v>/products/hydraulic-motors/</x:v>
      </x:c>
      <x:c r="K170" s="7" t="str">
        <x:v>Covered</x:v>
      </x:c>
      <x:c r="L170" s="7" t="str">
        <x:v>Optimize existing page</x:v>
      </x:c>
      <x:c r="M170" s="7" t="str">
        <x:v>Alternative / cross-reference</x:v>
      </x:c>
      <x:c r="N170" s="7" t="n">
        <x:v>5</x:v>
      </x:c>
      <x:c r="O170" s="7" t="n">
        <x:f>IF(B170&gt;=1000,5,IF(B170&gt;=300,4,IF(B170&gt;=100,3,IF(B170&gt;=30,2,IF(B170&gt;=10,1,0)))))</x:f>
        <x:v>0</x:v>
      </x:c>
      <x:c r="P170" s="7" t="n">
        <x:f>IF(C170&gt;=5,4,IF(C170&gt;=2,3,IF(C170&gt;=1,2,IF(C170&gt;0,1,0))))</x:f>
        <x:v>0</x:v>
      </x:c>
      <x:c r="Q170" s="7" t="n">
        <x:f>N170*2+O170+P170+IF(F170&gt;=0.2,1,0)+IF(K170="Gap",2,0)-IF(I170&lt;=2,5,0)</x:f>
        <x:v>10</x:v>
      </x:c>
      <x:c r="R170" s="7" t="str">
        <x:f>IF(I170&lt;=2,"D",IF(Q170&gt;=15,"A",IF(Q170&gt;=11,"B",IF(Q170&gt;=7,"C","D"))))</x:f>
        <x:v>C</x:v>
      </x:c>
      <x:c r="S170" s="12" t="n">
        <x:f>B170*'Dashboard'!$B$11</x:f>
        <x:v>0</x:v>
      </x:c>
      <x:c r="T170" s="10" t="n">
        <x:f>S170*'Dashboard'!$D$11</x:f>
        <x:v>0</x:v>
      </x:c>
      <x:c r="U170" s="7" t="str">
        <x:v>Low-volume commercial long tail; retain only when real supply evidence is available.</x:v>
      </x:c>
    </x:row>
    <x:row r="171" ht="19" customHeight="1">
      <x:c r="A171" s="7" t="str">
        <x:v>aftermarket hydraulic pump supplier</x:v>
      </x:c>
      <x:c r="B171" s="8" t="n">
        <x:v>0</x:v>
      </x:c>
      <x:c r="C171" s="9" t="n">
        <x:v>0</x:v>
      </x:c>
      <x:c r="D171" s="10" t="n">
        <x:v>0</x:v>
      </x:c>
      <x:c r="E171" s="8" t="n">
        <x:v>0</x:v>
      </x:c>
      <x:c r="F171" s="11" t="n">
        <x:v>0</x:v>
      </x:c>
      <x:c r="G171" s="7" t="str">
        <x:v>Transactional</x:v>
      </x:c>
      <x:c r="H171" s="7" t="str">
        <x:v>Replacement &amp; Cross-reference</x:v>
      </x:c>
      <x:c r="I171" s="7" t="n">
        <x:v>5</x:v>
      </x:c>
      <x:c r="J171" s="7" t="str">
        <x:v>/products/hydraulic-pumps/</x:v>
      </x:c>
      <x:c r="K171" s="7" t="str">
        <x:v>Covered</x:v>
      </x:c>
      <x:c r="L171" s="7" t="str">
        <x:v>Optimize existing page</x:v>
      </x:c>
      <x:c r="M171" s="7" t="str">
        <x:v>Alternative / cross-reference</x:v>
      </x:c>
      <x:c r="N171" s="7" t="n">
        <x:v>5</x:v>
      </x:c>
      <x:c r="O171" s="7" t="n">
        <x:f>IF(B171&gt;=1000,5,IF(B171&gt;=300,4,IF(B171&gt;=100,3,IF(B171&gt;=30,2,IF(B171&gt;=10,1,0)))))</x:f>
        <x:v>0</x:v>
      </x:c>
      <x:c r="P171" s="7" t="n">
        <x:f>IF(C171&gt;=5,4,IF(C171&gt;=2,3,IF(C171&gt;=1,2,IF(C171&gt;0,1,0))))</x:f>
        <x:v>0</x:v>
      </x:c>
      <x:c r="Q171" s="7" t="n">
        <x:f>N171*2+O171+P171+IF(F171&gt;=0.2,1,0)+IF(K171="Gap",2,0)-IF(I171&lt;=2,5,0)</x:f>
        <x:v>10</x:v>
      </x:c>
      <x:c r="R171" s="7" t="str">
        <x:f>IF(I171&lt;=2,"D",IF(Q171&gt;=15,"A",IF(Q171&gt;=11,"B",IF(Q171&gt;=7,"C","D"))))</x:f>
        <x:v>C</x:v>
      </x:c>
      <x:c r="S171" s="12" t="n">
        <x:f>B171*'Dashboard'!$B$11</x:f>
        <x:v>0</x:v>
      </x:c>
      <x:c r="T171" s="10" t="n">
        <x:f>S171*'Dashboard'!$D$11</x:f>
        <x:v>0</x:v>
      </x:c>
      <x:c r="U171" s="7" t="str">
        <x:v>Low-volume commercial long tail; retain only when real supply evidence is available.</x:v>
      </x:c>
    </x:row>
    <x:row r="172" ht="19" customHeight="1">
      <x:c r="A172" s="7" t="str">
        <x:v>aftermarket hydraulic valve supplier</x:v>
      </x:c>
      <x:c r="B172" s="8" t="n">
        <x:v>0</x:v>
      </x:c>
      <x:c r="C172" s="9" t="n">
        <x:v>0</x:v>
      </x:c>
      <x:c r="D172" s="10" t="n">
        <x:v>0</x:v>
      </x:c>
      <x:c r="E172" s="8" t="n">
        <x:v>0</x:v>
      </x:c>
      <x:c r="F172" s="11" t="n">
        <x:v>0</x:v>
      </x:c>
      <x:c r="G172" s="7" t="str">
        <x:v>Transactional</x:v>
      </x:c>
      <x:c r="H172" s="7" t="str">
        <x:v>Replacement &amp; Cross-reference</x:v>
      </x:c>
      <x:c r="I172" s="7" t="n">
        <x:v>5</x:v>
      </x:c>
      <x:c r="J172" s="7" t="str">
        <x:v>/products/hydraulic-valves/</x:v>
      </x:c>
      <x:c r="K172" s="7" t="str">
        <x:v>Covered</x:v>
      </x:c>
      <x:c r="L172" s="7" t="str">
        <x:v>Optimize existing page</x:v>
      </x:c>
      <x:c r="M172" s="7" t="str">
        <x:v>Alternative / cross-reference</x:v>
      </x:c>
      <x:c r="N172" s="7" t="n">
        <x:v>5</x:v>
      </x:c>
      <x:c r="O172" s="7" t="n">
        <x:f>IF(B172&gt;=1000,5,IF(B172&gt;=300,4,IF(B172&gt;=100,3,IF(B172&gt;=30,2,IF(B172&gt;=10,1,0)))))</x:f>
        <x:v>0</x:v>
      </x:c>
      <x:c r="P172" s="7" t="n">
        <x:f>IF(C172&gt;=5,4,IF(C172&gt;=2,3,IF(C172&gt;=1,2,IF(C172&gt;0,1,0))))</x:f>
        <x:v>0</x:v>
      </x:c>
      <x:c r="Q172" s="7" t="n">
        <x:f>N172*2+O172+P172+IF(F172&gt;=0.2,1,0)+IF(K172="Gap",2,0)-IF(I172&lt;=2,5,0)</x:f>
        <x:v>10</x:v>
      </x:c>
      <x:c r="R172" s="7" t="str">
        <x:f>IF(I172&lt;=2,"D",IF(Q172&gt;=15,"A",IF(Q172&gt;=11,"B",IF(Q172&gt;=7,"C","D"))))</x:f>
        <x:v>C</x:v>
      </x:c>
      <x:c r="S172" s="12" t="n">
        <x:f>B172*'Dashboard'!$B$11</x:f>
        <x:v>0</x:v>
      </x:c>
      <x:c r="T172" s="10" t="n">
        <x:f>S172*'Dashboard'!$D$11</x:f>
        <x:v>0</x:v>
      </x:c>
      <x:c r="U172" s="7" t="str">
        <x:v>Low-volume commercial long tail; retain only when real supply evidence is available.</x:v>
      </x:c>
    </x:row>
    <x:row r="173" ht="19" customHeight="1">
      <x:c r="A173" s="7" t="str">
        <x:v>ap2d equivalent</x:v>
      </x:c>
      <x:c r="B173" s="8" t="n">
        <x:v>0</x:v>
      </x:c>
      <x:c r="C173" s="9" t="n">
        <x:v>0</x:v>
      </x:c>
      <x:c r="D173" s="10" t="n">
        <x:v>0</x:v>
      </x:c>
      <x:c r="E173" s="8" t="n">
        <x:v>0</x:v>
      </x:c>
      <x:c r="F173" s="11" t="n">
        <x:v>0</x:v>
      </x:c>
      <x:c r="G173" s="7" t="str">
        <x:v>Commercial</x:v>
      </x:c>
      <x:c r="H173" s="7" t="str">
        <x:v>Replacement &amp; Cross-reference</x:v>
      </x:c>
      <x:c r="I173" s="7" t="n">
        <x:v>5</x:v>
      </x:c>
      <x:c r="J173" s="7" t="str">
        <x:v>/series/ap2d/</x:v>
      </x:c>
      <x:c r="K173" s="7" t="str">
        <x:v>Covered</x:v>
      </x:c>
      <x:c r="L173" s="7" t="str">
        <x:v>Optimize existing page</x:v>
      </x:c>
      <x:c r="M173" s="7" t="str">
        <x:v>Series hub</x:v>
      </x:c>
      <x:c r="N173" s="7" t="n">
        <x:v>5</x:v>
      </x:c>
      <x:c r="O173" s="7" t="n">
        <x:f>IF(B173&gt;=1000,5,IF(B173&gt;=300,4,IF(B173&gt;=100,3,IF(B173&gt;=30,2,IF(B173&gt;=10,1,0)))))</x:f>
        <x:v>0</x:v>
      </x:c>
      <x:c r="P173" s="7" t="n">
        <x:f>IF(C173&gt;=5,4,IF(C173&gt;=2,3,IF(C173&gt;=1,2,IF(C173&gt;0,1,0))))</x:f>
        <x:v>0</x:v>
      </x:c>
      <x:c r="Q173" s="7" t="n">
        <x:f>N173*2+O173+P173+IF(F173&gt;=0.2,1,0)+IF(K173="Gap",2,0)-IF(I173&lt;=2,5,0)</x:f>
        <x:v>10</x:v>
      </x:c>
      <x:c r="R173" s="7" t="str">
        <x:f>IF(I173&lt;=2,"D",IF(Q173&gt;=15,"A",IF(Q173&gt;=11,"B",IF(Q173&gt;=7,"C","D"))))</x:f>
        <x:v>C</x:v>
      </x:c>
      <x:c r="S173" s="12" t="n">
        <x:f>B173*'Dashboard'!$B$11</x:f>
        <x:v>0</x:v>
      </x:c>
      <x:c r="T173" s="10" t="n">
        <x:f>S173*'Dashboard'!$D$11</x:f>
        <x:v>0</x:v>
      </x:c>
      <x:c r="U173" s="7" t="str">
        <x:v>Low-volume commercial long tail; retain only when real supply evidence is available.</x:v>
      </x:c>
    </x:row>
    <x:row r="174" ht="19" customHeight="1">
      <x:c r="A174" s="7" t="str">
        <x:v>ap2d parts</x:v>
      </x:c>
      <x:c r="B174" s="8" t="n">
        <x:v>0</x:v>
      </x:c>
      <x:c r="C174" s="9" t="n">
        <x:v>0</x:v>
      </x:c>
      <x:c r="D174" s="10" t="n">
        <x:v>0</x:v>
      </x:c>
      <x:c r="E174" s="8" t="n">
        <x:v>0</x:v>
      </x:c>
      <x:c r="F174" s="11" t="n">
        <x:v>0</x:v>
      </x:c>
      <x:c r="G174" s="7" t="str">
        <x:v>Commercial</x:v>
      </x:c>
      <x:c r="H174" s="7" t="str">
        <x:v>Technical / Other</x:v>
      </x:c>
      <x:c r="I174" s="7" t="n">
        <x:v>5</x:v>
      </x:c>
      <x:c r="J174" s="7" t="str">
        <x:v>/series/ap2d/</x:v>
      </x:c>
      <x:c r="K174" s="7" t="str">
        <x:v>Covered</x:v>
      </x:c>
      <x:c r="L174" s="7" t="str">
        <x:v>Optimize existing page</x:v>
      </x:c>
      <x:c r="M174" s="7" t="str">
        <x:v>Series hub</x:v>
      </x:c>
      <x:c r="N174" s="7" t="n">
        <x:v>5</x:v>
      </x:c>
      <x:c r="O174" s="7" t="n">
        <x:f>IF(B174&gt;=1000,5,IF(B174&gt;=300,4,IF(B174&gt;=100,3,IF(B174&gt;=30,2,IF(B174&gt;=10,1,0)))))</x:f>
        <x:v>0</x:v>
      </x:c>
      <x:c r="P174" s="7" t="n">
        <x:f>IF(C174&gt;=5,4,IF(C174&gt;=2,3,IF(C174&gt;=1,2,IF(C174&gt;0,1,0))))</x:f>
        <x:v>0</x:v>
      </x:c>
      <x:c r="Q174" s="7" t="n">
        <x:f>N174*2+O174+P174+IF(F174&gt;=0.2,1,0)+IF(K174="Gap",2,0)-IF(I174&lt;=2,5,0)</x:f>
        <x:v>10</x:v>
      </x:c>
      <x:c r="R174" s="7" t="str">
        <x:f>IF(I174&lt;=2,"D",IF(Q174&gt;=15,"A",IF(Q174&gt;=11,"B",IF(Q174&gt;=7,"C","D"))))</x:f>
        <x:v>C</x:v>
      </x:c>
      <x:c r="S174" s="12" t="n">
        <x:f>B174*'Dashboard'!$B$11</x:f>
        <x:v>0</x:v>
      </x:c>
      <x:c r="T174" s="10" t="n">
        <x:f>S174*'Dashboard'!$D$11</x:f>
        <x:v>0</x:v>
      </x:c>
      <x:c r="U174" s="7" t="str">
        <x:v>Low-volume commercial long tail; retain only when real supply evidence is available.</x:v>
      </x:c>
    </x:row>
    <x:row r="175" ht="19" customHeight="1">
      <x:c r="A175" s="7" t="str">
        <x:v>ap2d replacement</x:v>
      </x:c>
      <x:c r="B175" s="8" t="n">
        <x:v>0</x:v>
      </x:c>
      <x:c r="C175" s="9" t="n">
        <x:v>0</x:v>
      </x:c>
      <x:c r="D175" s="10" t="n">
        <x:v>0</x:v>
      </x:c>
      <x:c r="E175" s="8" t="n">
        <x:v>0</x:v>
      </x:c>
      <x:c r="F175" s="11" t="n">
        <x:v>0</x:v>
      </x:c>
      <x:c r="G175" s="7" t="str">
        <x:v>Commercial</x:v>
      </x:c>
      <x:c r="H175" s="7" t="str">
        <x:v>Replacement &amp; Cross-reference</x:v>
      </x:c>
      <x:c r="I175" s="7" t="n">
        <x:v>5</x:v>
      </x:c>
      <x:c r="J175" s="7" t="str">
        <x:v>/series/ap2d/</x:v>
      </x:c>
      <x:c r="K175" s="7" t="str">
        <x:v>Covered</x:v>
      </x:c>
      <x:c r="L175" s="7" t="str">
        <x:v>Optimize existing page</x:v>
      </x:c>
      <x:c r="M175" s="7" t="str">
        <x:v>Series hub</x:v>
      </x:c>
      <x:c r="N175" s="7" t="n">
        <x:v>5</x:v>
      </x:c>
      <x:c r="O175" s="7" t="n">
        <x:f>IF(B175&gt;=1000,5,IF(B175&gt;=300,4,IF(B175&gt;=100,3,IF(B175&gt;=30,2,IF(B175&gt;=10,1,0)))))</x:f>
        <x:v>0</x:v>
      </x:c>
      <x:c r="P175" s="7" t="n">
        <x:f>IF(C175&gt;=5,4,IF(C175&gt;=2,3,IF(C175&gt;=1,2,IF(C175&gt;0,1,0))))</x:f>
        <x:v>0</x:v>
      </x:c>
      <x:c r="Q175" s="7" t="n">
        <x:f>N175*2+O175+P175+IF(F175&gt;=0.2,1,0)+IF(K175="Gap",2,0)-IF(I175&lt;=2,5,0)</x:f>
        <x:v>10</x:v>
      </x:c>
      <x:c r="R175" s="7" t="str">
        <x:f>IF(I175&lt;=2,"D",IF(Q175&gt;=15,"A",IF(Q175&gt;=11,"B",IF(Q175&gt;=7,"C","D"))))</x:f>
        <x:v>C</x:v>
      </x:c>
      <x:c r="S175" s="12" t="n">
        <x:f>B175*'Dashboard'!$B$11</x:f>
        <x:v>0</x:v>
      </x:c>
      <x:c r="T175" s="10" t="n">
        <x:f>S175*'Dashboard'!$D$11</x:f>
        <x:v>0</x:v>
      </x:c>
      <x:c r="U175" s="7" t="str">
        <x:v>Low-volume commercial long tail; retain only when real supply evidence is available.</x:v>
      </x:c>
    </x:row>
    <x:row r="176" ht="19" customHeight="1">
      <x:c r="A176" s="7" t="str">
        <x:v>ap2d seal kit</x:v>
      </x:c>
      <x:c r="B176" s="8" t="n">
        <x:v>0</x:v>
      </x:c>
      <x:c r="C176" s="9" t="n">
        <x:v>0</x:v>
      </x:c>
      <x:c r="D176" s="10" t="n">
        <x:v>0</x:v>
      </x:c>
      <x:c r="E176" s="8" t="n">
        <x:v>0</x:v>
      </x:c>
      <x:c r="F176" s="11" t="n">
        <x:v>0</x:v>
      </x:c>
      <x:c r="G176" s="7" t="str">
        <x:v>Commercial</x:v>
      </x:c>
      <x:c r="H176" s="7" t="str">
        <x:v>Repair Kits &amp; Service Parts</x:v>
      </x:c>
      <x:c r="I176" s="7" t="n">
        <x:v>5</x:v>
      </x:c>
      <x:c r="J176" s="7" t="str">
        <x:v>/series/ap2d/</x:v>
      </x:c>
      <x:c r="K176" s="7" t="str">
        <x:v>Covered</x:v>
      </x:c>
      <x:c r="L176" s="7" t="str">
        <x:v>Optimize existing page</x:v>
      </x:c>
      <x:c r="M176" s="7" t="str">
        <x:v>Series hub</x:v>
      </x:c>
      <x:c r="N176" s="7" t="n">
        <x:v>5</x:v>
      </x:c>
      <x:c r="O176" s="7" t="n">
        <x:f>IF(B176&gt;=1000,5,IF(B176&gt;=300,4,IF(B176&gt;=100,3,IF(B176&gt;=30,2,IF(B176&gt;=10,1,0)))))</x:f>
        <x:v>0</x:v>
      </x:c>
      <x:c r="P176" s="7" t="n">
        <x:f>IF(C176&gt;=5,4,IF(C176&gt;=2,3,IF(C176&gt;=1,2,IF(C176&gt;0,1,0))))</x:f>
        <x:v>0</x:v>
      </x:c>
      <x:c r="Q176" s="7" t="n">
        <x:f>N176*2+O176+P176+IF(F176&gt;=0.2,1,0)+IF(K176="Gap",2,0)-IF(I176&lt;=2,5,0)</x:f>
        <x:v>10</x:v>
      </x:c>
      <x:c r="R176" s="7" t="str">
        <x:f>IF(I176&lt;=2,"D",IF(Q176&gt;=15,"A",IF(Q176&gt;=11,"B",IF(Q176&gt;=7,"C","D"))))</x:f>
        <x:v>C</x:v>
      </x:c>
      <x:c r="S176" s="12" t="n">
        <x:f>B176*'Dashboard'!$B$11</x:f>
        <x:v>0</x:v>
      </x:c>
      <x:c r="T176" s="10" t="n">
        <x:f>S176*'Dashboard'!$D$11</x:f>
        <x:v>0</x:v>
      </x:c>
      <x:c r="U176" s="7" t="str">
        <x:v>Low-volume commercial long tail; retain only when real supply evidence is available.</x:v>
      </x:c>
    </x:row>
    <x:row r="177" ht="19" customHeight="1">
      <x:c r="A177" s="7" t="str">
        <x:v>ap2d supplier</x:v>
      </x:c>
      <x:c r="B177" s="8" t="n">
        <x:v>0</x:v>
      </x:c>
      <x:c r="C177" s="9" t="n">
        <x:v>0</x:v>
      </x:c>
      <x:c r="D177" s="10" t="n">
        <x:v>0</x:v>
      </x:c>
      <x:c r="E177" s="8" t="n">
        <x:v>0</x:v>
      </x:c>
      <x:c r="F177" s="11" t="n">
        <x:v>0</x:v>
      </x:c>
      <x:c r="G177" s="7" t="str">
        <x:v>Transactional</x:v>
      </x:c>
      <x:c r="H177" s="7" t="str">
        <x:v>Technical / Other</x:v>
      </x:c>
      <x:c r="I177" s="7" t="n">
        <x:v>5</x:v>
      </x:c>
      <x:c r="J177" s="7" t="str">
        <x:v>/series/ap2d/</x:v>
      </x:c>
      <x:c r="K177" s="7" t="str">
        <x:v>Covered</x:v>
      </x:c>
      <x:c r="L177" s="7" t="str">
        <x:v>Optimize existing page</x:v>
      </x:c>
      <x:c r="M177" s="7" t="str">
        <x:v>Series hub</x:v>
      </x:c>
      <x:c r="N177" s="7" t="n">
        <x:v>5</x:v>
      </x:c>
      <x:c r="O177" s="7" t="n">
        <x:f>IF(B177&gt;=1000,5,IF(B177&gt;=300,4,IF(B177&gt;=100,3,IF(B177&gt;=30,2,IF(B177&gt;=10,1,0)))))</x:f>
        <x:v>0</x:v>
      </x:c>
      <x:c r="P177" s="7" t="n">
        <x:f>IF(C177&gt;=5,4,IF(C177&gt;=2,3,IF(C177&gt;=1,2,IF(C177&gt;0,1,0))))</x:f>
        <x:v>0</x:v>
      </x:c>
      <x:c r="Q177" s="7" t="n">
        <x:f>N177*2+O177+P177+IF(F177&gt;=0.2,1,0)+IF(K177="Gap",2,0)-IF(I177&lt;=2,5,0)</x:f>
        <x:v>10</x:v>
      </x:c>
      <x:c r="R177" s="7" t="str">
        <x:f>IF(I177&lt;=2,"D",IF(Q177&gt;=15,"A",IF(Q177&gt;=11,"B",IF(Q177&gt;=7,"C","D"))))</x:f>
        <x:v>C</x:v>
      </x:c>
      <x:c r="S177" s="12" t="n">
        <x:f>B177*'Dashboard'!$B$11</x:f>
        <x:v>0</x:v>
      </x:c>
      <x:c r="T177" s="10" t="n">
        <x:f>S177*'Dashboard'!$D$11</x:f>
        <x:v>0</x:v>
      </x:c>
      <x:c r="U177" s="7" t="str">
        <x:v>Low-volume commercial long tail; retain only when real supply evidence is available.</x:v>
      </x:c>
    </x:row>
    <x:row r="178" ht="19" customHeight="1">
      <x:c r="A178" s="7" t="str">
        <x:v>atos parts</x:v>
      </x:c>
      <x:c r="B178" s="8" t="n">
        <x:v>0</x:v>
      </x:c>
      <x:c r="C178" s="9" t="n">
        <x:v>0</x:v>
      </x:c>
      <x:c r="D178" s="10" t="n">
        <x:v>0</x:v>
      </x:c>
      <x:c r="E178" s="8" t="n">
        <x:v>0</x:v>
      </x:c>
      <x:c r="F178" s="11" t="n">
        <x:v>0</x:v>
      </x:c>
      <x:c r="G178" s="7" t="str">
        <x:v>Commercial</x:v>
      </x:c>
      <x:c r="H178" s="7" t="str">
        <x:v>Brand Coverage</x:v>
      </x:c>
      <x:c r="I178" s="7" t="n">
        <x:v>4</x:v>
      </x:c>
      <x:c r="J178" s="7" t="str">
        <x:v>/brands/atos/</x:v>
      </x:c>
      <x:c r="K178" s="7" t="str">
        <x:v>Covered</x:v>
      </x:c>
      <x:c r="L178" s="7" t="str">
        <x:v>Optimize existing page</x:v>
      </x:c>
      <x:c r="M178" s="7" t="str">
        <x:v>Brand hub</x:v>
      </x:c>
      <x:c r="N178" s="7" t="n">
        <x:v>5</x:v>
      </x:c>
      <x:c r="O178" s="7" t="n">
        <x:f>IF(B178&gt;=1000,5,IF(B178&gt;=300,4,IF(B178&gt;=100,3,IF(B178&gt;=30,2,IF(B178&gt;=10,1,0)))))</x:f>
        <x:v>0</x:v>
      </x:c>
      <x:c r="P178" s="7" t="n">
        <x:f>IF(C178&gt;=5,4,IF(C178&gt;=2,3,IF(C178&gt;=1,2,IF(C178&gt;0,1,0))))</x:f>
        <x:v>0</x:v>
      </x:c>
      <x:c r="Q178" s="7" t="n">
        <x:f>N178*2+O178+P178+IF(F178&gt;=0.2,1,0)+IF(K178="Gap",2,0)-IF(I178&lt;=2,5,0)</x:f>
        <x:v>10</x:v>
      </x:c>
      <x:c r="R178" s="7" t="str">
        <x:f>IF(I178&lt;=2,"D",IF(Q178&gt;=15,"A",IF(Q178&gt;=11,"B",IF(Q178&gt;=7,"C","D"))))</x:f>
        <x:v>C</x:v>
      </x:c>
      <x:c r="S178" s="12" t="n">
        <x:f>B178*'Dashboard'!$B$11</x:f>
        <x:v>0</x:v>
      </x:c>
      <x:c r="T178" s="10" t="n">
        <x:f>S178*'Dashboard'!$D$11</x:f>
        <x:v>0</x:v>
      </x:c>
      <x:c r="U178" s="7" t="str">
        <x:v>Low-volume commercial long tail; retain only when real supply evidence is available.</x:v>
      </x:c>
    </x:row>
    <x:row r="179" ht="19" customHeight="1">
      <x:c r="A179" s="7" t="str">
        <x:v>atos replacement</x:v>
      </x:c>
      <x:c r="B179" s="8" t="n">
        <x:v>0</x:v>
      </x:c>
      <x:c r="C179" s="9" t="n">
        <x:v>0</x:v>
      </x:c>
      <x:c r="D179" s="10" t="n">
        <x:v>0</x:v>
      </x:c>
      <x:c r="E179" s="8" t="n">
        <x:v>0</x:v>
      </x:c>
      <x:c r="F179" s="11" t="n">
        <x:v>0</x:v>
      </x:c>
      <x:c r="G179" s="7" t="str">
        <x:v>Commercial</x:v>
      </x:c>
      <x:c r="H179" s="7" t="str">
        <x:v>Replacement &amp; Cross-reference</x:v>
      </x:c>
      <x:c r="I179" s="7" t="n">
        <x:v>4</x:v>
      </x:c>
      <x:c r="J179" s="7" t="str">
        <x:v>/brands/atos/</x:v>
      </x:c>
      <x:c r="K179" s="7" t="str">
        <x:v>Covered</x:v>
      </x:c>
      <x:c r="L179" s="7" t="str">
        <x:v>Optimize existing page</x:v>
      </x:c>
      <x:c r="M179" s="7" t="str">
        <x:v>Brand hub</x:v>
      </x:c>
      <x:c r="N179" s="7" t="n">
        <x:v>5</x:v>
      </x:c>
      <x:c r="O179" s="7" t="n">
        <x:f>IF(B179&gt;=1000,5,IF(B179&gt;=300,4,IF(B179&gt;=100,3,IF(B179&gt;=30,2,IF(B179&gt;=10,1,0)))))</x:f>
        <x:v>0</x:v>
      </x:c>
      <x:c r="P179" s="7" t="n">
        <x:f>IF(C179&gt;=5,4,IF(C179&gt;=2,3,IF(C179&gt;=1,2,IF(C179&gt;0,1,0))))</x:f>
        <x:v>0</x:v>
      </x:c>
      <x:c r="Q179" s="7" t="n">
        <x:f>N179*2+O179+P179+IF(F179&gt;=0.2,1,0)+IF(K179="Gap",2,0)-IF(I179&lt;=2,5,0)</x:f>
        <x:v>10</x:v>
      </x:c>
      <x:c r="R179" s="7" t="str">
        <x:f>IF(I179&lt;=2,"D",IF(Q179&gt;=15,"A",IF(Q179&gt;=11,"B",IF(Q179&gt;=7,"C","D"))))</x:f>
        <x:v>C</x:v>
      </x:c>
      <x:c r="S179" s="12" t="n">
        <x:f>B179*'Dashboard'!$B$11</x:f>
        <x:v>0</x:v>
      </x:c>
      <x:c r="T179" s="10" t="n">
        <x:f>S179*'Dashboard'!$D$11</x:f>
        <x:v>0</x:v>
      </x:c>
      <x:c r="U179" s="7" t="str">
        <x:v>Low-volume commercial long tail; retain only when real supply evidence is available.</x:v>
      </x:c>
    </x:row>
    <x:row r="180" ht="19" customHeight="1">
      <x:c r="A180" s="7" t="str">
        <x:v>axial piston pump aftermarket</x:v>
      </x:c>
      <x:c r="B180" s="8" t="n">
        <x:v>0</x:v>
      </x:c>
      <x:c r="C180" s="9" t="n">
        <x:v>0</x:v>
      </x:c>
      <x:c r="D180" s="10" t="n">
        <x:v>0</x:v>
      </x:c>
      <x:c r="E180" s="8" t="n">
        <x:v>0</x:v>
      </x:c>
      <x:c r="F180" s="11" t="n">
        <x:v>0</x:v>
      </x:c>
      <x:c r="G180" s="7" t="str">
        <x:v>Commercial</x:v>
      </x:c>
      <x:c r="H180" s="7" t="str">
        <x:v>Replacement &amp; Cross-reference</x:v>
      </x:c>
      <x:c r="I180" s="7" t="n">
        <x:v>5</x:v>
      </x:c>
      <x:c r="J180" s="7" t="str">
        <x:v>/products/hydraulic-pumps/axial-piston-pumps/</x:v>
      </x:c>
      <x:c r="K180" s="7" t="str">
        <x:v>Covered</x:v>
      </x:c>
      <x:c r="L180" s="7" t="str">
        <x:v>Optimize existing page</x:v>
      </x:c>
      <x:c r="M180" s="7" t="str">
        <x:v>Alternative / cross-reference</x:v>
      </x:c>
      <x:c r="N180" s="7" t="n">
        <x:v>5</x:v>
      </x:c>
      <x:c r="O180" s="7" t="n">
        <x:f>IF(B180&gt;=1000,5,IF(B180&gt;=300,4,IF(B180&gt;=100,3,IF(B180&gt;=30,2,IF(B180&gt;=10,1,0)))))</x:f>
        <x:v>0</x:v>
      </x:c>
      <x:c r="P180" s="7" t="n">
        <x:f>IF(C180&gt;=5,4,IF(C180&gt;=2,3,IF(C180&gt;=1,2,IF(C180&gt;0,1,0))))</x:f>
        <x:v>0</x:v>
      </x:c>
      <x:c r="Q180" s="7" t="n">
        <x:f>N180*2+O180+P180+IF(F180&gt;=0.2,1,0)+IF(K180="Gap",2,0)-IF(I180&lt;=2,5,0)</x:f>
        <x:v>10</x:v>
      </x:c>
      <x:c r="R180" s="7" t="str">
        <x:f>IF(I180&lt;=2,"D",IF(Q180&gt;=15,"A",IF(Q180&gt;=11,"B",IF(Q180&gt;=7,"C","D"))))</x:f>
        <x:v>C</x:v>
      </x:c>
      <x:c r="S180" s="12" t="n">
        <x:f>B180*'Dashboard'!$B$11</x:f>
        <x:v>0</x:v>
      </x:c>
      <x:c r="T180" s="10" t="n">
        <x:f>S180*'Dashboard'!$D$11</x:f>
        <x:v>0</x:v>
      </x:c>
      <x:c r="U180" s="7" t="str">
        <x:v>Low-volume commercial long tail; retain only when real supply evidence is available.</x:v>
      </x:c>
    </x:row>
    <x:row r="181" ht="19" customHeight="1">
      <x:c r="A181" s="7" t="str">
        <x:v>axial piston pump in stock</x:v>
      </x:c>
      <x:c r="B181" s="8" t="n">
        <x:v>0</x:v>
      </x:c>
      <x:c r="C181" s="9" t="n">
        <x:v>0</x:v>
      </x:c>
      <x:c r="D181" s="10" t="n">
        <x:v>0</x:v>
      </x:c>
      <x:c r="E181" s="8" t="n">
        <x:v>0</x:v>
      </x:c>
      <x:c r="F181" s="11" t="n">
        <x:v>0</x:v>
      </x:c>
      <x:c r="G181" s="7" t="str">
        <x:v>Transactional</x:v>
      </x:c>
      <x:c r="H181" s="7" t="str">
        <x:v>Hydraulic Pumps</x:v>
      </x:c>
      <x:c r="I181" s="7" t="n">
        <x:v>5</x:v>
      </x:c>
      <x:c r="J181" s="7" t="str">
        <x:v>/products/hydraulic-pumps/axial-piston-pumps/</x:v>
      </x:c>
      <x:c r="K181" s="7" t="str">
        <x:v>Covered</x:v>
      </x:c>
      <x:c r="L181" s="7" t="str">
        <x:v>Optimize existing page</x:v>
      </x:c>
      <x:c r="M181" s="7" t="str">
        <x:v>Product / category</x:v>
      </x:c>
      <x:c r="N181" s="7" t="n">
        <x:v>5</x:v>
      </x:c>
      <x:c r="O181" s="7" t="n">
        <x:f>IF(B181&gt;=1000,5,IF(B181&gt;=300,4,IF(B181&gt;=100,3,IF(B181&gt;=30,2,IF(B181&gt;=10,1,0)))))</x:f>
        <x:v>0</x:v>
      </x:c>
      <x:c r="P181" s="7" t="n">
        <x:f>IF(C181&gt;=5,4,IF(C181&gt;=2,3,IF(C181&gt;=1,2,IF(C181&gt;0,1,0))))</x:f>
        <x:v>0</x:v>
      </x:c>
      <x:c r="Q181" s="7" t="n">
        <x:f>N181*2+O181+P181+IF(F181&gt;=0.2,1,0)+IF(K181="Gap",2,0)-IF(I181&lt;=2,5,0)</x:f>
        <x:v>10</x:v>
      </x:c>
      <x:c r="R181" s="7" t="str">
        <x:f>IF(I181&lt;=2,"D",IF(Q181&gt;=15,"A",IF(Q181&gt;=11,"B",IF(Q181&gt;=7,"C","D"))))</x:f>
        <x:v>C</x:v>
      </x:c>
      <x:c r="S181" s="12" t="n">
        <x:f>B181*'Dashboard'!$B$11</x:f>
        <x:v>0</x:v>
      </x:c>
      <x:c r="T181" s="10" t="n">
        <x:f>S181*'Dashboard'!$D$11</x:f>
        <x:v>0</x:v>
      </x:c>
      <x:c r="U181" s="7" t="str">
        <x:v>Low-volume commercial long tail; retain only when real supply evidence is available.</x:v>
      </x:c>
    </x:row>
    <x:row r="182" ht="19" customHeight="1">
      <x:c r="A182" s="7" t="str">
        <x:v>axial piston pump manufacturer</x:v>
      </x:c>
      <x:c r="B182" s="8" t="n">
        <x:v>0</x:v>
      </x:c>
      <x:c r="C182" s="9" t="n">
        <x:v>0</x:v>
      </x:c>
      <x:c r="D182" s="10" t="n">
        <x:v>0</x:v>
      </x:c>
      <x:c r="E182" s="8" t="n">
        <x:v>0</x:v>
      </x:c>
      <x:c r="F182" s="11" t="n">
        <x:v>0</x:v>
      </x:c>
      <x:c r="G182" s="7" t="str">
        <x:v>Transactional</x:v>
      </x:c>
      <x:c r="H182" s="7" t="str">
        <x:v>Hydraulic Pumps</x:v>
      </x:c>
      <x:c r="I182" s="7" t="n">
        <x:v>5</x:v>
      </x:c>
      <x:c r="J182" s="7" t="str">
        <x:v>/products/hydraulic-pumps/axial-piston-pumps/</x:v>
      </x:c>
      <x:c r="K182" s="7" t="str">
        <x:v>Covered</x:v>
      </x:c>
      <x:c r="L182" s="7" t="str">
        <x:v>Optimize existing page</x:v>
      </x:c>
      <x:c r="M182" s="7" t="str">
        <x:v>Product / category</x:v>
      </x:c>
      <x:c r="N182" s="7" t="n">
        <x:v>5</x:v>
      </x:c>
      <x:c r="O182" s="7" t="n">
        <x:f>IF(B182&gt;=1000,5,IF(B182&gt;=300,4,IF(B182&gt;=100,3,IF(B182&gt;=30,2,IF(B182&gt;=10,1,0)))))</x:f>
        <x:v>0</x:v>
      </x:c>
      <x:c r="P182" s="7" t="n">
        <x:f>IF(C182&gt;=5,4,IF(C182&gt;=2,3,IF(C182&gt;=1,2,IF(C182&gt;0,1,0))))</x:f>
        <x:v>0</x:v>
      </x:c>
      <x:c r="Q182" s="7" t="n">
        <x:f>N182*2+O182+P182+IF(F182&gt;=0.2,1,0)+IF(K182="Gap",2,0)-IF(I182&lt;=2,5,0)</x:f>
        <x:v>10</x:v>
      </x:c>
      <x:c r="R182" s="7" t="str">
        <x:f>IF(I182&lt;=2,"D",IF(Q182&gt;=15,"A",IF(Q182&gt;=11,"B",IF(Q182&gt;=7,"C","D"))))</x:f>
        <x:v>C</x:v>
      </x:c>
      <x:c r="S182" s="12" t="n">
        <x:f>B182*'Dashboard'!$B$11</x:f>
        <x:v>0</x:v>
      </x:c>
      <x:c r="T182" s="10" t="n">
        <x:f>S182*'Dashboard'!$D$11</x:f>
        <x:v>0</x:v>
      </x:c>
      <x:c r="U182" s="7" t="str">
        <x:v>Low-volume commercial long tail; retain only when real supply evidence is available.</x:v>
      </x:c>
    </x:row>
    <x:row r="183" ht="19" customHeight="1">
      <x:c r="A183" s="7" t="str">
        <x:v>axial piston pump replacement</x:v>
      </x:c>
      <x:c r="B183" s="8" t="n">
        <x:v>0</x:v>
      </x:c>
      <x:c r="C183" s="9" t="n">
        <x:v>0</x:v>
      </x:c>
      <x:c r="D183" s="10" t="n">
        <x:v>0</x:v>
      </x:c>
      <x:c r="E183" s="8" t="n">
        <x:v>0</x:v>
      </x:c>
      <x:c r="F183" s="11" t="n">
        <x:v>0</x:v>
      </x:c>
      <x:c r="G183" s="7" t="str">
        <x:v>Commercial</x:v>
      </x:c>
      <x:c r="H183" s="7" t="str">
        <x:v>Replacement &amp; Cross-reference</x:v>
      </x:c>
      <x:c r="I183" s="7" t="n">
        <x:v>5</x:v>
      </x:c>
      <x:c r="J183" s="7" t="str">
        <x:v>/products/hydraulic-pumps/axial-piston-pumps/</x:v>
      </x:c>
      <x:c r="K183" s="7" t="str">
        <x:v>Covered</x:v>
      </x:c>
      <x:c r="L183" s="7" t="str">
        <x:v>Optimize existing page</x:v>
      </x:c>
      <x:c r="M183" s="7" t="str">
        <x:v>Alternative / cross-reference</x:v>
      </x:c>
      <x:c r="N183" s="7" t="n">
        <x:v>5</x:v>
      </x:c>
      <x:c r="O183" s="7" t="n">
        <x:f>IF(B183&gt;=1000,5,IF(B183&gt;=300,4,IF(B183&gt;=100,3,IF(B183&gt;=30,2,IF(B183&gt;=10,1,0)))))</x:f>
        <x:v>0</x:v>
      </x:c>
      <x:c r="P183" s="7" t="n">
        <x:f>IF(C183&gt;=5,4,IF(C183&gt;=2,3,IF(C183&gt;=1,2,IF(C183&gt;0,1,0))))</x:f>
        <x:v>0</x:v>
      </x:c>
      <x:c r="Q183" s="7" t="n">
        <x:f>N183*2+O183+P183+IF(F183&gt;=0.2,1,0)+IF(K183="Gap",2,0)-IF(I183&lt;=2,5,0)</x:f>
        <x:v>10</x:v>
      </x:c>
      <x:c r="R183" s="7" t="str">
        <x:f>IF(I183&lt;=2,"D",IF(Q183&gt;=15,"A",IF(Q183&gt;=11,"B",IF(Q183&gt;=7,"C","D"))))</x:f>
        <x:v>C</x:v>
      </x:c>
      <x:c r="S183" s="12" t="n">
        <x:f>B183*'Dashboard'!$B$11</x:f>
        <x:v>0</x:v>
      </x:c>
      <x:c r="T183" s="10" t="n">
        <x:f>S183*'Dashboard'!$D$11</x:f>
        <x:v>0</x:v>
      </x:c>
      <x:c r="U183" s="7" t="str">
        <x:v>Low-volume commercial long tail; retain only when real supply evidence is available.</x:v>
      </x:c>
    </x:row>
    <x:row r="184" ht="19" customHeight="1">
      <x:c r="A184" s="7" t="str">
        <x:v>bosch rexroth replacement</x:v>
      </x:c>
      <x:c r="B184" s="8" t="n">
        <x:v>0</x:v>
      </x:c>
      <x:c r="C184" s="9" t="n">
        <x:v>0</x:v>
      </x:c>
      <x:c r="D184" s="10" t="n">
        <x:v>0</x:v>
      </x:c>
      <x:c r="E184" s="8" t="n">
        <x:v>0</x:v>
      </x:c>
      <x:c r="F184" s="11" t="n">
        <x:v>0</x:v>
      </x:c>
      <x:c r="G184" s="7" t="str">
        <x:v>Commercial</x:v>
      </x:c>
      <x:c r="H184" s="7" t="str">
        <x:v>Replacement &amp; Cross-reference</x:v>
      </x:c>
      <x:c r="I184" s="7" t="n">
        <x:v>4</x:v>
      </x:c>
      <x:c r="J184" s="7" t="str">
        <x:v>/brands/bosch-rexroth/</x:v>
      </x:c>
      <x:c r="K184" s="7" t="str">
        <x:v>Covered</x:v>
      </x:c>
      <x:c r="L184" s="7" t="str">
        <x:v>Optimize existing page</x:v>
      </x:c>
      <x:c r="M184" s="7" t="str">
        <x:v>Brand hub</x:v>
      </x:c>
      <x:c r="N184" s="7" t="n">
        <x:v>5</x:v>
      </x:c>
      <x:c r="O184" s="7" t="n">
        <x:f>IF(B184&gt;=1000,5,IF(B184&gt;=300,4,IF(B184&gt;=100,3,IF(B184&gt;=30,2,IF(B184&gt;=10,1,0)))))</x:f>
        <x:v>0</x:v>
      </x:c>
      <x:c r="P184" s="7" t="n">
        <x:f>IF(C184&gt;=5,4,IF(C184&gt;=2,3,IF(C184&gt;=1,2,IF(C184&gt;0,1,0))))</x:f>
        <x:v>0</x:v>
      </x:c>
      <x:c r="Q184" s="7" t="n">
        <x:f>N184*2+O184+P184+IF(F184&gt;=0.2,1,0)+IF(K184="Gap",2,0)-IF(I184&lt;=2,5,0)</x:f>
        <x:v>10</x:v>
      </x:c>
      <x:c r="R184" s="7" t="str">
        <x:f>IF(I184&lt;=2,"D",IF(Q184&gt;=15,"A",IF(Q184&gt;=11,"B",IF(Q184&gt;=7,"C","D"))))</x:f>
        <x:v>C</x:v>
      </x:c>
      <x:c r="S184" s="12" t="n">
        <x:f>B184*'Dashboard'!$B$11</x:f>
        <x:v>0</x:v>
      </x:c>
      <x:c r="T184" s="10" t="n">
        <x:f>S184*'Dashboard'!$D$11</x:f>
        <x:v>0</x:v>
      </x:c>
      <x:c r="U184" s="7" t="str">
        <x:v>Low-volume commercial long tail; retain only when real supply evidence is available.</x:v>
      </x:c>
    </x:row>
    <x:row r="185" ht="19" customHeight="1">
      <x:c r="A185" s="7" t="str">
        <x:v>custom hydraulic cylinder aftermarket</x:v>
      </x:c>
      <x:c r="B185" s="8" t="n">
        <x:v>0</x:v>
      </x:c>
      <x:c r="C185" s="9" t="n">
        <x:v>0</x:v>
      </x:c>
      <x:c r="D185" s="10" t="n">
        <x:v>0</x:v>
      </x:c>
      <x:c r="E185" s="8" t="n">
        <x:v>0</x:v>
      </x:c>
      <x:c r="F185" s="11" t="n">
        <x:v>0</x:v>
      </x:c>
      <x:c r="G185" s="7" t="str">
        <x:v>Commercial</x:v>
      </x:c>
      <x:c r="H185" s="7" t="str">
        <x:v>Replacement &amp; Cross-reference</x:v>
      </x:c>
      <x:c r="I185" s="7" t="n">
        <x:v>5</x:v>
      </x:c>
      <x:c r="J185" s="7" t="str">
        <x:v>/products/hydraulic-cylinders/custom-hydraulic-cylinders/</x:v>
      </x:c>
      <x:c r="K185" s="7" t="str">
        <x:v>Covered</x:v>
      </x:c>
      <x:c r="L185" s="7" t="str">
        <x:v>Optimize existing page</x:v>
      </x:c>
      <x:c r="M185" s="7" t="str">
        <x:v>Alternative / cross-reference</x:v>
      </x:c>
      <x:c r="N185" s="7" t="n">
        <x:v>5</x:v>
      </x:c>
      <x:c r="O185" s="7" t="n">
        <x:f>IF(B185&gt;=1000,5,IF(B185&gt;=300,4,IF(B185&gt;=100,3,IF(B185&gt;=30,2,IF(B185&gt;=10,1,0)))))</x:f>
        <x:v>0</x:v>
      </x:c>
      <x:c r="P185" s="7" t="n">
        <x:f>IF(C185&gt;=5,4,IF(C185&gt;=2,3,IF(C185&gt;=1,2,IF(C185&gt;0,1,0))))</x:f>
        <x:v>0</x:v>
      </x:c>
      <x:c r="Q185" s="7" t="n">
        <x:f>N185*2+O185+P185+IF(F185&gt;=0.2,1,0)+IF(K185="Gap",2,0)-IF(I185&lt;=2,5,0)</x:f>
        <x:v>10</x:v>
      </x:c>
      <x:c r="R185" s="7" t="str">
        <x:f>IF(I185&lt;=2,"D",IF(Q185&gt;=15,"A",IF(Q185&gt;=11,"B",IF(Q185&gt;=7,"C","D"))))</x:f>
        <x:v>C</x:v>
      </x:c>
      <x:c r="S185" s="12" t="n">
        <x:f>B185*'Dashboard'!$B$11</x:f>
        <x:v>0</x:v>
      </x:c>
      <x:c r="T185" s="10" t="n">
        <x:f>S185*'Dashboard'!$D$11</x:f>
        <x:v>0</x:v>
      </x:c>
      <x:c r="U185" s="7" t="str">
        <x:v>Low-volume commercial long tail; retain only when real supply evidence is available.</x:v>
      </x:c>
    </x:row>
    <x:row r="186" ht="19" customHeight="1">
      <x:c r="A186" s="7" t="str">
        <x:v>custom hydraulic cylinder in stock</x:v>
      </x:c>
      <x:c r="B186" s="8" t="n">
        <x:v>0</x:v>
      </x:c>
      <x:c r="C186" s="9" t="n">
        <x:v>0</x:v>
      </x:c>
      <x:c r="D186" s="10" t="n">
        <x:v>0</x:v>
      </x:c>
      <x:c r="E186" s="8" t="n">
        <x:v>0</x:v>
      </x:c>
      <x:c r="F186" s="11" t="n">
        <x:v>0</x:v>
      </x:c>
      <x:c r="G186" s="7" t="str">
        <x:v>Transactional</x:v>
      </x:c>
      <x:c r="H186" s="7" t="str">
        <x:v>Hydraulic Cylinders</x:v>
      </x:c>
      <x:c r="I186" s="7" t="n">
        <x:v>5</x:v>
      </x:c>
      <x:c r="J186" s="7" t="str">
        <x:v>/products/hydraulic-cylinders/custom-hydraulic-cylinders/</x:v>
      </x:c>
      <x:c r="K186" s="7" t="str">
        <x:v>Covered</x:v>
      </x:c>
      <x:c r="L186" s="7" t="str">
        <x:v>Optimize existing page</x:v>
      </x:c>
      <x:c r="M186" s="7" t="str">
        <x:v>Product / category</x:v>
      </x:c>
      <x:c r="N186" s="7" t="n">
        <x:v>5</x:v>
      </x:c>
      <x:c r="O186" s="7" t="n">
        <x:f>IF(B186&gt;=1000,5,IF(B186&gt;=300,4,IF(B186&gt;=100,3,IF(B186&gt;=30,2,IF(B186&gt;=10,1,0)))))</x:f>
        <x:v>0</x:v>
      </x:c>
      <x:c r="P186" s="7" t="n">
        <x:f>IF(C186&gt;=5,4,IF(C186&gt;=2,3,IF(C186&gt;=1,2,IF(C186&gt;0,1,0))))</x:f>
        <x:v>0</x:v>
      </x:c>
      <x:c r="Q186" s="7" t="n">
        <x:f>N186*2+O186+P186+IF(F186&gt;=0.2,1,0)+IF(K186="Gap",2,0)-IF(I186&lt;=2,5,0)</x:f>
        <x:v>10</x:v>
      </x:c>
      <x:c r="R186" s="7" t="str">
        <x:f>IF(I186&lt;=2,"D",IF(Q186&gt;=15,"A",IF(Q186&gt;=11,"B",IF(Q186&gt;=7,"C","D"))))</x:f>
        <x:v>C</x:v>
      </x:c>
      <x:c r="S186" s="12" t="n">
        <x:f>B186*'Dashboard'!$B$11</x:f>
        <x:v>0</x:v>
      </x:c>
      <x:c r="T186" s="10" t="n">
        <x:f>S186*'Dashboard'!$D$11</x:f>
        <x:v>0</x:v>
      </x:c>
      <x:c r="U186" s="7" t="str">
        <x:v>Low-volume commercial long tail; retain only when real supply evidence is available.</x:v>
      </x:c>
    </x:row>
    <x:row r="187" ht="19" customHeight="1">
      <x:c r="A187" s="7" t="str">
        <x:v>custom hydraulic cylinder replacement</x:v>
      </x:c>
      <x:c r="B187" s="8" t="n">
        <x:v>0</x:v>
      </x:c>
      <x:c r="C187" s="9" t="n">
        <x:v>0</x:v>
      </x:c>
      <x:c r="D187" s="10" t="n">
        <x:v>0</x:v>
      </x:c>
      <x:c r="E187" s="8" t="n">
        <x:v>0</x:v>
      </x:c>
      <x:c r="F187" s="11" t="n">
        <x:v>0</x:v>
      </x:c>
      <x:c r="G187" s="7" t="str">
        <x:v>Commercial</x:v>
      </x:c>
      <x:c r="H187" s="7" t="str">
        <x:v>Replacement &amp; Cross-reference</x:v>
      </x:c>
      <x:c r="I187" s="7" t="n">
        <x:v>5</x:v>
      </x:c>
      <x:c r="J187" s="7" t="str">
        <x:v>/products/hydraulic-cylinders/custom-hydraulic-cylinders/</x:v>
      </x:c>
      <x:c r="K187" s="7" t="str">
        <x:v>Covered</x:v>
      </x:c>
      <x:c r="L187" s="7" t="str">
        <x:v>Optimize existing page</x:v>
      </x:c>
      <x:c r="M187" s="7" t="str">
        <x:v>Alternative / cross-reference</x:v>
      </x:c>
      <x:c r="N187" s="7" t="n">
        <x:v>5</x:v>
      </x:c>
      <x:c r="O187" s="7" t="n">
        <x:f>IF(B187&gt;=1000,5,IF(B187&gt;=300,4,IF(B187&gt;=100,3,IF(B187&gt;=30,2,IF(B187&gt;=10,1,0)))))</x:f>
        <x:v>0</x:v>
      </x:c>
      <x:c r="P187" s="7" t="n">
        <x:f>IF(C187&gt;=5,4,IF(C187&gt;=2,3,IF(C187&gt;=1,2,IF(C187&gt;0,1,0))))</x:f>
        <x:v>0</x:v>
      </x:c>
      <x:c r="Q187" s="7" t="n">
        <x:f>N187*2+O187+P187+IF(F187&gt;=0.2,1,0)+IF(K187="Gap",2,0)-IF(I187&lt;=2,5,0)</x:f>
        <x:v>10</x:v>
      </x:c>
      <x:c r="R187" s="7" t="str">
        <x:f>IF(I187&lt;=2,"D",IF(Q187&gt;=15,"A",IF(Q187&gt;=11,"B",IF(Q187&gt;=7,"C","D"))))</x:f>
        <x:v>C</x:v>
      </x:c>
      <x:c r="S187" s="12" t="n">
        <x:f>B187*'Dashboard'!$B$11</x:f>
        <x:v>0</x:v>
      </x:c>
      <x:c r="T187" s="10" t="n">
        <x:f>S187*'Dashboard'!$D$11</x:f>
        <x:v>0</x:v>
      </x:c>
      <x:c r="U187" s="7" t="str">
        <x:v>Low-volume commercial long tail; retain only when real supply evidence is available.</x:v>
      </x:c>
    </x:row>
    <x:row r="188" ht="19" customHeight="1">
      <x:c r="A188" s="7" t="str">
        <x:v>custom hydraulic cylinder supplier</x:v>
      </x:c>
      <x:c r="B188" s="8" t="n">
        <x:v>0</x:v>
      </x:c>
      <x:c r="C188" s="9" t="n">
        <x:v>0</x:v>
      </x:c>
      <x:c r="D188" s="10" t="n">
        <x:v>0</x:v>
      </x:c>
      <x:c r="E188" s="8" t="n">
        <x:v>0</x:v>
      </x:c>
      <x:c r="F188" s="11" t="n">
        <x:v>0</x:v>
      </x:c>
      <x:c r="G188" s="7" t="str">
        <x:v>Transactional</x:v>
      </x:c>
      <x:c r="H188" s="7" t="str">
        <x:v>Hydraulic Cylinders</x:v>
      </x:c>
      <x:c r="I188" s="7" t="n">
        <x:v>5</x:v>
      </x:c>
      <x:c r="J188" s="7" t="str">
        <x:v>/products/hydraulic-cylinders/custom-hydraulic-cylinders/</x:v>
      </x:c>
      <x:c r="K188" s="7" t="str">
        <x:v>Covered</x:v>
      </x:c>
      <x:c r="L188" s="7" t="str">
        <x:v>Optimize existing page</x:v>
      </x:c>
      <x:c r="M188" s="7" t="str">
        <x:v>Product / category</x:v>
      </x:c>
      <x:c r="N188" s="7" t="n">
        <x:v>5</x:v>
      </x:c>
      <x:c r="O188" s="7" t="n">
        <x:f>IF(B188&gt;=1000,5,IF(B188&gt;=300,4,IF(B188&gt;=100,3,IF(B188&gt;=30,2,IF(B188&gt;=10,1,0)))))</x:f>
        <x:v>0</x:v>
      </x:c>
      <x:c r="P188" s="7" t="n">
        <x:f>IF(C188&gt;=5,4,IF(C188&gt;=2,3,IF(C188&gt;=1,2,IF(C188&gt;0,1,0))))</x:f>
        <x:v>0</x:v>
      </x:c>
      <x:c r="Q188" s="7" t="n">
        <x:f>N188*2+O188+P188+IF(F188&gt;=0.2,1,0)+IF(K188="Gap",2,0)-IF(I188&lt;=2,5,0)</x:f>
        <x:v>10</x:v>
      </x:c>
      <x:c r="R188" s="7" t="str">
        <x:f>IF(I188&lt;=2,"D",IF(Q188&gt;=15,"A",IF(Q188&gt;=11,"B",IF(Q188&gt;=7,"C","D"))))</x:f>
        <x:v>C</x:v>
      </x:c>
      <x:c r="S188" s="12" t="n">
        <x:f>B188*'Dashboard'!$B$11</x:f>
        <x:v>0</x:v>
      </x:c>
      <x:c r="T188" s="10" t="n">
        <x:f>S188*'Dashboard'!$D$11</x:f>
        <x:v>0</x:v>
      </x:c>
      <x:c r="U188" s="7" t="str">
        <x:v>Low-volume commercial long tail; retain only when real supply evidence is available.</x:v>
      </x:c>
    </x:row>
    <x:row r="189" ht="19" customHeight="1">
      <x:c r="A189" s="7" t="str">
        <x:v>d1vw equivalent</x:v>
      </x:c>
      <x:c r="B189" s="8" t="n">
        <x:v>0</x:v>
      </x:c>
      <x:c r="C189" s="9" t="n">
        <x:v>0</x:v>
      </x:c>
      <x:c r="D189" s="10" t="n">
        <x:v>0</x:v>
      </x:c>
      <x:c r="E189" s="8" t="n">
        <x:v>0</x:v>
      </x:c>
      <x:c r="F189" s="11" t="n">
        <x:v>0</x:v>
      </x:c>
      <x:c r="G189" s="7" t="str">
        <x:v>Commercial</x:v>
      </x:c>
      <x:c r="H189" s="7" t="str">
        <x:v>Replacement &amp; Cross-reference</x:v>
      </x:c>
      <x:c r="I189" s="7" t="n">
        <x:v>5</x:v>
      </x:c>
      <x:c r="J189" s="7" t="str">
        <x:v>/series/d1vw/</x:v>
      </x:c>
      <x:c r="K189" s="7" t="str">
        <x:v>Covered</x:v>
      </x:c>
      <x:c r="L189" s="7" t="str">
        <x:v>Optimize existing page</x:v>
      </x:c>
      <x:c r="M189" s="7" t="str">
        <x:v>Series hub</x:v>
      </x:c>
      <x:c r="N189" s="7" t="n">
        <x:v>5</x:v>
      </x:c>
      <x:c r="O189" s="7" t="n">
        <x:f>IF(B189&gt;=1000,5,IF(B189&gt;=300,4,IF(B189&gt;=100,3,IF(B189&gt;=30,2,IF(B189&gt;=10,1,0)))))</x:f>
        <x:v>0</x:v>
      </x:c>
      <x:c r="P189" s="7" t="n">
        <x:f>IF(C189&gt;=5,4,IF(C189&gt;=2,3,IF(C189&gt;=1,2,IF(C189&gt;0,1,0))))</x:f>
        <x:v>0</x:v>
      </x:c>
      <x:c r="Q189" s="7" t="n">
        <x:f>N189*2+O189+P189+IF(F189&gt;=0.2,1,0)+IF(K189="Gap",2,0)-IF(I189&lt;=2,5,0)</x:f>
        <x:v>10</x:v>
      </x:c>
      <x:c r="R189" s="7" t="str">
        <x:f>IF(I189&lt;=2,"D",IF(Q189&gt;=15,"A",IF(Q189&gt;=11,"B",IF(Q189&gt;=7,"C","D"))))</x:f>
        <x:v>C</x:v>
      </x:c>
      <x:c r="S189" s="12" t="n">
        <x:f>B189*'Dashboard'!$B$11</x:f>
        <x:v>0</x:v>
      </x:c>
      <x:c r="T189" s="10" t="n">
        <x:f>S189*'Dashboard'!$D$11</x:f>
        <x:v>0</x:v>
      </x:c>
      <x:c r="U189" s="7" t="str">
        <x:v>Low-volume commercial long tail; retain only when real supply evidence is available.</x:v>
      </x:c>
    </x:row>
    <x:row r="190" ht="19" customHeight="1">
      <x:c r="A190" s="7" t="str">
        <x:v>d1vw parts</x:v>
      </x:c>
      <x:c r="B190" s="8" t="n">
        <x:v>0</x:v>
      </x:c>
      <x:c r="C190" s="9" t="n">
        <x:v>0</x:v>
      </x:c>
      <x:c r="D190" s="10" t="n">
        <x:v>0</x:v>
      </x:c>
      <x:c r="E190" s="8" t="n">
        <x:v>0</x:v>
      </x:c>
      <x:c r="F190" s="11" t="n">
        <x:v>0</x:v>
      </x:c>
      <x:c r="G190" s="7" t="str">
        <x:v>Commercial</x:v>
      </x:c>
      <x:c r="H190" s="7" t="str">
        <x:v>Hydraulic Valves</x:v>
      </x:c>
      <x:c r="I190" s="7" t="n">
        <x:v>5</x:v>
      </x:c>
      <x:c r="J190" s="7" t="str">
        <x:v>/series/d1vw/</x:v>
      </x:c>
      <x:c r="K190" s="7" t="str">
        <x:v>Covered</x:v>
      </x:c>
      <x:c r="L190" s="7" t="str">
        <x:v>Optimize existing page</x:v>
      </x:c>
      <x:c r="M190" s="7" t="str">
        <x:v>Series hub</x:v>
      </x:c>
      <x:c r="N190" s="7" t="n">
        <x:v>5</x:v>
      </x:c>
      <x:c r="O190" s="7" t="n">
        <x:f>IF(B190&gt;=1000,5,IF(B190&gt;=300,4,IF(B190&gt;=100,3,IF(B190&gt;=30,2,IF(B190&gt;=10,1,0)))))</x:f>
        <x:v>0</x:v>
      </x:c>
      <x:c r="P190" s="7" t="n">
        <x:f>IF(C190&gt;=5,4,IF(C190&gt;=2,3,IF(C190&gt;=1,2,IF(C190&gt;0,1,0))))</x:f>
        <x:v>0</x:v>
      </x:c>
      <x:c r="Q190" s="7" t="n">
        <x:f>N190*2+O190+P190+IF(F190&gt;=0.2,1,0)+IF(K190="Gap",2,0)-IF(I190&lt;=2,5,0)</x:f>
        <x:v>10</x:v>
      </x:c>
      <x:c r="R190" s="7" t="str">
        <x:f>IF(I190&lt;=2,"D",IF(Q190&gt;=15,"A",IF(Q190&gt;=11,"B",IF(Q190&gt;=7,"C","D"))))</x:f>
        <x:v>C</x:v>
      </x:c>
      <x:c r="S190" s="12" t="n">
        <x:f>B190*'Dashboard'!$B$11</x:f>
        <x:v>0</x:v>
      </x:c>
      <x:c r="T190" s="10" t="n">
        <x:f>S190*'Dashboard'!$D$11</x:f>
        <x:v>0</x:v>
      </x:c>
      <x:c r="U190" s="7" t="str">
        <x:v>Low-volume commercial long tail; retain only when real supply evidence is available.</x:v>
      </x:c>
    </x:row>
    <x:row r="191" ht="19" customHeight="1">
      <x:c r="A191" s="7" t="str">
        <x:v>d1vw replacement</x:v>
      </x:c>
      <x:c r="B191" s="8" t="n">
        <x:v>0</x:v>
      </x:c>
      <x:c r="C191" s="9" t="n">
        <x:v>0</x:v>
      </x:c>
      <x:c r="D191" s="10" t="n">
        <x:v>0</x:v>
      </x:c>
      <x:c r="E191" s="8" t="n">
        <x:v>0</x:v>
      </x:c>
      <x:c r="F191" s="11" t="n">
        <x:v>0</x:v>
      </x:c>
      <x:c r="G191" s="7" t="str">
        <x:v>Commercial</x:v>
      </x:c>
      <x:c r="H191" s="7" t="str">
        <x:v>Replacement &amp; Cross-reference</x:v>
      </x:c>
      <x:c r="I191" s="7" t="n">
        <x:v>5</x:v>
      </x:c>
      <x:c r="J191" s="7" t="str">
        <x:v>/series/d1vw/</x:v>
      </x:c>
      <x:c r="K191" s="7" t="str">
        <x:v>Covered</x:v>
      </x:c>
      <x:c r="L191" s="7" t="str">
        <x:v>Optimize existing page</x:v>
      </x:c>
      <x:c r="M191" s="7" t="str">
        <x:v>Series hub</x:v>
      </x:c>
      <x:c r="N191" s="7" t="n">
        <x:v>5</x:v>
      </x:c>
      <x:c r="O191" s="7" t="n">
        <x:f>IF(B191&gt;=1000,5,IF(B191&gt;=300,4,IF(B191&gt;=100,3,IF(B191&gt;=30,2,IF(B191&gt;=10,1,0)))))</x:f>
        <x:v>0</x:v>
      </x:c>
      <x:c r="P191" s="7" t="n">
        <x:f>IF(C191&gt;=5,4,IF(C191&gt;=2,3,IF(C191&gt;=1,2,IF(C191&gt;0,1,0))))</x:f>
        <x:v>0</x:v>
      </x:c>
      <x:c r="Q191" s="7" t="n">
        <x:f>N191*2+O191+P191+IF(F191&gt;=0.2,1,0)+IF(K191="Gap",2,0)-IF(I191&lt;=2,5,0)</x:f>
        <x:v>10</x:v>
      </x:c>
      <x:c r="R191" s="7" t="str">
        <x:f>IF(I191&lt;=2,"D",IF(Q191&gt;=15,"A",IF(Q191&gt;=11,"B",IF(Q191&gt;=7,"C","D"))))</x:f>
        <x:v>C</x:v>
      </x:c>
      <x:c r="S191" s="12" t="n">
        <x:f>B191*'Dashboard'!$B$11</x:f>
        <x:v>0</x:v>
      </x:c>
      <x:c r="T191" s="10" t="n">
        <x:f>S191*'Dashboard'!$D$11</x:f>
        <x:v>0</x:v>
      </x:c>
      <x:c r="U191" s="7" t="str">
        <x:v>Low-volume commercial long tail; retain only when real supply evidence is available.</x:v>
      </x:c>
    </x:row>
    <x:row r="192" ht="19" customHeight="1">
      <x:c r="A192" s="7" t="str">
        <x:v>d1vw seal kit</x:v>
      </x:c>
      <x:c r="B192" s="8" t="n">
        <x:v>0</x:v>
      </x:c>
      <x:c r="C192" s="9" t="n">
        <x:v>0</x:v>
      </x:c>
      <x:c r="D192" s="10" t="n">
        <x:v>0</x:v>
      </x:c>
      <x:c r="E192" s="8" t="n">
        <x:v>0</x:v>
      </x:c>
      <x:c r="F192" s="11" t="n">
        <x:v>0</x:v>
      </x:c>
      <x:c r="G192" s="7" t="str">
        <x:v>Commercial</x:v>
      </x:c>
      <x:c r="H192" s="7" t="str">
        <x:v>Repair Kits &amp; Service Parts</x:v>
      </x:c>
      <x:c r="I192" s="7" t="n">
        <x:v>5</x:v>
      </x:c>
      <x:c r="J192" s="7" t="str">
        <x:v>/series/d1vw/</x:v>
      </x:c>
      <x:c r="K192" s="7" t="str">
        <x:v>Covered</x:v>
      </x:c>
      <x:c r="L192" s="7" t="str">
        <x:v>Optimize existing page</x:v>
      </x:c>
      <x:c r="M192" s="7" t="str">
        <x:v>Series hub</x:v>
      </x:c>
      <x:c r="N192" s="7" t="n">
        <x:v>5</x:v>
      </x:c>
      <x:c r="O192" s="7" t="n">
        <x:f>IF(B192&gt;=1000,5,IF(B192&gt;=300,4,IF(B192&gt;=100,3,IF(B192&gt;=30,2,IF(B192&gt;=10,1,0)))))</x:f>
        <x:v>0</x:v>
      </x:c>
      <x:c r="P192" s="7" t="n">
        <x:f>IF(C192&gt;=5,4,IF(C192&gt;=2,3,IF(C192&gt;=1,2,IF(C192&gt;0,1,0))))</x:f>
        <x:v>0</x:v>
      </x:c>
      <x:c r="Q192" s="7" t="n">
        <x:f>N192*2+O192+P192+IF(F192&gt;=0.2,1,0)+IF(K192="Gap",2,0)-IF(I192&lt;=2,5,0)</x:f>
        <x:v>10</x:v>
      </x:c>
      <x:c r="R192" s="7" t="str">
        <x:f>IF(I192&lt;=2,"D",IF(Q192&gt;=15,"A",IF(Q192&gt;=11,"B",IF(Q192&gt;=7,"C","D"))))</x:f>
        <x:v>C</x:v>
      </x:c>
      <x:c r="S192" s="12" t="n">
        <x:f>B192*'Dashboard'!$B$11</x:f>
        <x:v>0</x:v>
      </x:c>
      <x:c r="T192" s="10" t="n">
        <x:f>S192*'Dashboard'!$D$11</x:f>
        <x:v>0</x:v>
      </x:c>
      <x:c r="U192" s="7" t="str">
        <x:v>Low-volume commercial long tail; retain only when real supply evidence is available.</x:v>
      </x:c>
    </x:row>
    <x:row r="193" ht="19" customHeight="1">
      <x:c r="A193" s="7" t="str">
        <x:v>d1vw supplier</x:v>
      </x:c>
      <x:c r="B193" s="8" t="n">
        <x:v>0</x:v>
      </x:c>
      <x:c r="C193" s="9" t="n">
        <x:v>0</x:v>
      </x:c>
      <x:c r="D193" s="10" t="n">
        <x:v>0</x:v>
      </x:c>
      <x:c r="E193" s="8" t="n">
        <x:v>0</x:v>
      </x:c>
      <x:c r="F193" s="11" t="n">
        <x:v>0</x:v>
      </x:c>
      <x:c r="G193" s="7" t="str">
        <x:v>Transactional</x:v>
      </x:c>
      <x:c r="H193" s="7" t="str">
        <x:v>Hydraulic Valves</x:v>
      </x:c>
      <x:c r="I193" s="7" t="n">
        <x:v>5</x:v>
      </x:c>
      <x:c r="J193" s="7" t="str">
        <x:v>/series/d1vw/</x:v>
      </x:c>
      <x:c r="K193" s="7" t="str">
        <x:v>Covered</x:v>
      </x:c>
      <x:c r="L193" s="7" t="str">
        <x:v>Optimize existing page</x:v>
      </x:c>
      <x:c r="M193" s="7" t="str">
        <x:v>Series hub</x:v>
      </x:c>
      <x:c r="N193" s="7" t="n">
        <x:v>5</x:v>
      </x:c>
      <x:c r="O193" s="7" t="n">
        <x:f>IF(B193&gt;=1000,5,IF(B193&gt;=300,4,IF(B193&gt;=100,3,IF(B193&gt;=30,2,IF(B193&gt;=10,1,0)))))</x:f>
        <x:v>0</x:v>
      </x:c>
      <x:c r="P193" s="7" t="n">
        <x:f>IF(C193&gt;=5,4,IF(C193&gt;=2,3,IF(C193&gt;=1,2,IF(C193&gt;0,1,0))))</x:f>
        <x:v>0</x:v>
      </x:c>
      <x:c r="Q193" s="7" t="n">
        <x:f>N193*2+O193+P193+IF(F193&gt;=0.2,1,0)+IF(K193="Gap",2,0)-IF(I193&lt;=2,5,0)</x:f>
        <x:v>10</x:v>
      </x:c>
      <x:c r="R193" s="7" t="str">
        <x:f>IF(I193&lt;=2,"D",IF(Q193&gt;=15,"A",IF(Q193&gt;=11,"B",IF(Q193&gt;=7,"C","D"))))</x:f>
        <x:v>C</x:v>
      </x:c>
      <x:c r="S193" s="12" t="n">
        <x:f>B193*'Dashboard'!$B$11</x:f>
        <x:v>0</x:v>
      </x:c>
      <x:c r="T193" s="10" t="n">
        <x:f>S193*'Dashboard'!$D$11</x:f>
        <x:v>0</x:v>
      </x:c>
      <x:c r="U193" s="7" t="str">
        <x:v>Low-volume commercial long tail; retain only when real supply evidence is available.</x:v>
      </x:c>
    </x:row>
    <x:row r="194" ht="19" customHeight="1">
      <x:c r="A194" s="7" t="str">
        <x:v>d1vw020bnjw replacement</x:v>
      </x:c>
      <x:c r="B194" s="8" t="n">
        <x:v>0</x:v>
      </x:c>
      <x:c r="C194" s="9" t="n">
        <x:v>0</x:v>
      </x:c>
      <x:c r="D194" s="10" t="n">
        <x:v>0</x:v>
      </x:c>
      <x:c r="E194" s="8" t="n">
        <x:v>0</x:v>
      </x:c>
      <x:c r="F194" s="11" t="n">
        <x:v>0</x:v>
      </x:c>
      <x:c r="G194" s="7" t="str">
        <x:v>Commercial</x:v>
      </x:c>
      <x:c r="H194" s="7" t="str">
        <x:v>Replacement &amp; Cross-reference</x:v>
      </x:c>
      <x:c r="I194" s="7" t="n">
        <x:v>5</x:v>
      </x:c>
      <x:c r="J194" s="7" t="str">
        <x:v>/models/parker-d1vw020bnjw/</x:v>
      </x:c>
      <x:c r="K194" s="7" t="str">
        <x:v>Covered</x:v>
      </x:c>
      <x:c r="L194" s="7" t="str">
        <x:v>Optimize existing page</x:v>
      </x:c>
      <x:c r="M194" s="7" t="str">
        <x:v>Model record</x:v>
      </x:c>
      <x:c r="N194" s="7" t="n">
        <x:v>5</x:v>
      </x:c>
      <x:c r="O194" s="7" t="n">
        <x:f>IF(B194&gt;=1000,5,IF(B194&gt;=300,4,IF(B194&gt;=100,3,IF(B194&gt;=30,2,IF(B194&gt;=10,1,0)))))</x:f>
        <x:v>0</x:v>
      </x:c>
      <x:c r="P194" s="7" t="n">
        <x:f>IF(C194&gt;=5,4,IF(C194&gt;=2,3,IF(C194&gt;=1,2,IF(C194&gt;0,1,0))))</x:f>
        <x:v>0</x:v>
      </x:c>
      <x:c r="Q194" s="7" t="n">
        <x:f>N194*2+O194+P194+IF(F194&gt;=0.2,1,0)+IF(K194="Gap",2,0)-IF(I194&lt;=2,5,0)</x:f>
        <x:v>10</x:v>
      </x:c>
      <x:c r="R194" s="7" t="str">
        <x:f>IF(I194&lt;=2,"D",IF(Q194&gt;=15,"A",IF(Q194&gt;=11,"B",IF(Q194&gt;=7,"C","D"))))</x:f>
        <x:v>C</x:v>
      </x:c>
      <x:c r="S194" s="12" t="n">
        <x:f>B194*'Dashboard'!$B$11</x:f>
        <x:v>0</x:v>
      </x:c>
      <x:c r="T194" s="10" t="n">
        <x:f>S194*'Dashboard'!$D$11</x:f>
        <x:v>0</x:v>
      </x:c>
      <x:c r="U194" s="7" t="str">
        <x:v>Low-volume commercial long tail; retain only when real supply evidence is available.</x:v>
      </x:c>
    </x:row>
    <x:row r="195" ht="19" customHeight="1">
      <x:c r="A195" s="7" t="str">
        <x:v>d1vw020bnjw seal kit</x:v>
      </x:c>
      <x:c r="B195" s="8" t="n">
        <x:v>0</x:v>
      </x:c>
      <x:c r="C195" s="9" t="n">
        <x:v>0</x:v>
      </x:c>
      <x:c r="D195" s="10" t="n">
        <x:v>0</x:v>
      </x:c>
      <x:c r="E195" s="8" t="n">
        <x:v>0</x:v>
      </x:c>
      <x:c r="F195" s="11" t="n">
        <x:v>0</x:v>
      </x:c>
      <x:c r="G195" s="7" t="str">
        <x:v>Commercial</x:v>
      </x:c>
      <x:c r="H195" s="7" t="str">
        <x:v>Repair Kits &amp; Service Parts</x:v>
      </x:c>
      <x:c r="I195" s="7" t="n">
        <x:v>5</x:v>
      </x:c>
      <x:c r="J195" s="7" t="str">
        <x:v>/models/parker-d1vw020bnjw/</x:v>
      </x:c>
      <x:c r="K195" s="7" t="str">
        <x:v>Covered</x:v>
      </x:c>
      <x:c r="L195" s="7" t="str">
        <x:v>Optimize existing page</x:v>
      </x:c>
      <x:c r="M195" s="7" t="str">
        <x:v>Model record</x:v>
      </x:c>
      <x:c r="N195" s="7" t="n">
        <x:v>5</x:v>
      </x:c>
      <x:c r="O195" s="7" t="n">
        <x:f>IF(B195&gt;=1000,5,IF(B195&gt;=300,4,IF(B195&gt;=100,3,IF(B195&gt;=30,2,IF(B195&gt;=10,1,0)))))</x:f>
        <x:v>0</x:v>
      </x:c>
      <x:c r="P195" s="7" t="n">
        <x:f>IF(C195&gt;=5,4,IF(C195&gt;=2,3,IF(C195&gt;=1,2,IF(C195&gt;0,1,0))))</x:f>
        <x:v>0</x:v>
      </x:c>
      <x:c r="Q195" s="7" t="n">
        <x:f>N195*2+O195+P195+IF(F195&gt;=0.2,1,0)+IF(K195="Gap",2,0)-IF(I195&lt;=2,5,0)</x:f>
        <x:v>10</x:v>
      </x:c>
      <x:c r="R195" s="7" t="str">
        <x:f>IF(I195&lt;=2,"D",IF(Q195&gt;=15,"A",IF(Q195&gt;=11,"B",IF(Q195&gt;=7,"C","D"))))</x:f>
        <x:v>C</x:v>
      </x:c>
      <x:c r="S195" s="12" t="n">
        <x:f>B195*'Dashboard'!$B$11</x:f>
        <x:v>0</x:v>
      </x:c>
      <x:c r="T195" s="10" t="n">
        <x:f>S195*'Dashboard'!$D$11</x:f>
        <x:v>0</x:v>
      </x:c>
      <x:c r="U195" s="7" t="str">
        <x:v>Low-volume commercial long tail; retain only when real supply evidence is available.</x:v>
      </x:c>
    </x:row>
    <x:row r="196" ht="19" customHeight="1">
      <x:c r="A196" s="7" t="str">
        <x:v>d1vw020bnjw supplier</x:v>
      </x:c>
      <x:c r="B196" s="8" t="n">
        <x:v>0</x:v>
      </x:c>
      <x:c r="C196" s="9" t="n">
        <x:v>0</x:v>
      </x:c>
      <x:c r="D196" s="10" t="n">
        <x:v>0</x:v>
      </x:c>
      <x:c r="E196" s="8" t="n">
        <x:v>0</x:v>
      </x:c>
      <x:c r="F196" s="11" t="n">
        <x:v>0</x:v>
      </x:c>
      <x:c r="G196" s="7" t="str">
        <x:v>Transactional</x:v>
      </x:c>
      <x:c r="H196" s="7" t="str">
        <x:v>Technical / Other</x:v>
      </x:c>
      <x:c r="I196" s="7" t="n">
        <x:v>5</x:v>
      </x:c>
      <x:c r="J196" s="7" t="str">
        <x:v>/models/parker-d1vw020bnjw/</x:v>
      </x:c>
      <x:c r="K196" s="7" t="str">
        <x:v>Covered</x:v>
      </x:c>
      <x:c r="L196" s="7" t="str">
        <x:v>Optimize existing page</x:v>
      </x:c>
      <x:c r="M196" s="7" t="str">
        <x:v>Model record</x:v>
      </x:c>
      <x:c r="N196" s="7" t="n">
        <x:v>5</x:v>
      </x:c>
      <x:c r="O196" s="7" t="n">
        <x:f>IF(B196&gt;=1000,5,IF(B196&gt;=300,4,IF(B196&gt;=100,3,IF(B196&gt;=30,2,IF(B196&gt;=10,1,0)))))</x:f>
        <x:v>0</x:v>
      </x:c>
      <x:c r="P196" s="7" t="n">
        <x:f>IF(C196&gt;=5,4,IF(C196&gt;=2,3,IF(C196&gt;=1,2,IF(C196&gt;0,1,0))))</x:f>
        <x:v>0</x:v>
      </x:c>
      <x:c r="Q196" s="7" t="n">
        <x:f>N196*2+O196+P196+IF(F196&gt;=0.2,1,0)+IF(K196="Gap",2,0)-IF(I196&lt;=2,5,0)</x:f>
        <x:v>10</x:v>
      </x:c>
      <x:c r="R196" s="7" t="str">
        <x:f>IF(I196&lt;=2,"D",IF(Q196&gt;=15,"A",IF(Q196&gt;=11,"B",IF(Q196&gt;=7,"C","D"))))</x:f>
        <x:v>C</x:v>
      </x:c>
      <x:c r="S196" s="12" t="n">
        <x:f>B196*'Dashboard'!$B$11</x:f>
        <x:v>0</x:v>
      </x:c>
      <x:c r="T196" s="10" t="n">
        <x:f>S196*'Dashboard'!$D$11</x:f>
        <x:v>0</x:v>
      </x:c>
      <x:c r="U196" s="7" t="str">
        <x:v>Low-volume commercial long tail; retain only when real supply evidence is available.</x:v>
      </x:c>
    </x:row>
    <x:row r="197" ht="19" customHeight="1">
      <x:c r="A197" s="7" t="str">
        <x:v>danfoss sundstrand parts</x:v>
      </x:c>
      <x:c r="B197" s="8" t="n">
        <x:v>0</x:v>
      </x:c>
      <x:c r="C197" s="9" t="n">
        <x:v>0</x:v>
      </x:c>
      <x:c r="D197" s="10" t="n">
        <x:v>0</x:v>
      </x:c>
      <x:c r="E197" s="8" t="n">
        <x:v>0</x:v>
      </x:c>
      <x:c r="F197" s="11" t="n">
        <x:v>0</x:v>
      </x:c>
      <x:c r="G197" s="7" t="str">
        <x:v>Commercial</x:v>
      </x:c>
      <x:c r="H197" s="7" t="str">
        <x:v>Brand Coverage</x:v>
      </x:c>
      <x:c r="I197" s="7" t="n">
        <x:v>4</x:v>
      </x:c>
      <x:c r="J197" s="7" t="str">
        <x:v>/brands/danfoss-sundstrand/</x:v>
      </x:c>
      <x:c r="K197" s="7" t="str">
        <x:v>Covered</x:v>
      </x:c>
      <x:c r="L197" s="7" t="str">
        <x:v>Optimize existing page</x:v>
      </x:c>
      <x:c r="M197" s="7" t="str">
        <x:v>Brand hub</x:v>
      </x:c>
      <x:c r="N197" s="7" t="n">
        <x:v>5</x:v>
      </x:c>
      <x:c r="O197" s="7" t="n">
        <x:f>IF(B197&gt;=1000,5,IF(B197&gt;=300,4,IF(B197&gt;=100,3,IF(B197&gt;=30,2,IF(B197&gt;=10,1,0)))))</x:f>
        <x:v>0</x:v>
      </x:c>
      <x:c r="P197" s="7" t="n">
        <x:f>IF(C197&gt;=5,4,IF(C197&gt;=2,3,IF(C197&gt;=1,2,IF(C197&gt;0,1,0))))</x:f>
        <x:v>0</x:v>
      </x:c>
      <x:c r="Q197" s="7" t="n">
        <x:f>N197*2+O197+P197+IF(F197&gt;=0.2,1,0)+IF(K197="Gap",2,0)-IF(I197&lt;=2,5,0)</x:f>
        <x:v>10</x:v>
      </x:c>
      <x:c r="R197" s="7" t="str">
        <x:f>IF(I197&lt;=2,"D",IF(Q197&gt;=15,"A",IF(Q197&gt;=11,"B",IF(Q197&gt;=7,"C","D"))))</x:f>
        <x:v>C</x:v>
      </x:c>
      <x:c r="S197" s="12" t="n">
        <x:f>B197*'Dashboard'!$B$11</x:f>
        <x:v>0</x:v>
      </x:c>
      <x:c r="T197" s="10" t="n">
        <x:f>S197*'Dashboard'!$D$11</x:f>
        <x:v>0</x:v>
      </x:c>
      <x:c r="U197" s="7" t="str">
        <x:v>Low-volume commercial long tail; retain only when real supply evidence is available.</x:v>
      </x:c>
    </x:row>
    <x:row r="198" ht="19" customHeight="1">
      <x:c r="A198" s="7" t="str">
        <x:v>danfoss sundstrand replacement</x:v>
      </x:c>
      <x:c r="B198" s="8" t="n">
        <x:v>0</x:v>
      </x:c>
      <x:c r="C198" s="9" t="n">
        <x:v>0</x:v>
      </x:c>
      <x:c r="D198" s="10" t="n">
        <x:v>0</x:v>
      </x:c>
      <x:c r="E198" s="8" t="n">
        <x:v>0</x:v>
      </x:c>
      <x:c r="F198" s="11" t="n">
        <x:v>0</x:v>
      </x:c>
      <x:c r="G198" s="7" t="str">
        <x:v>Commercial</x:v>
      </x:c>
      <x:c r="H198" s="7" t="str">
        <x:v>Replacement &amp; Cross-reference</x:v>
      </x:c>
      <x:c r="I198" s="7" t="n">
        <x:v>4</x:v>
      </x:c>
      <x:c r="J198" s="7" t="str">
        <x:v>/brands/danfoss-sundstrand/</x:v>
      </x:c>
      <x:c r="K198" s="7" t="str">
        <x:v>Covered</x:v>
      </x:c>
      <x:c r="L198" s="7" t="str">
        <x:v>Optimize existing page</x:v>
      </x:c>
      <x:c r="M198" s="7" t="str">
        <x:v>Brand hub</x:v>
      </x:c>
      <x:c r="N198" s="7" t="n">
        <x:v>5</x:v>
      </x:c>
      <x:c r="O198" s="7" t="n">
        <x:f>IF(B198&gt;=1000,5,IF(B198&gt;=300,4,IF(B198&gt;=100,3,IF(B198&gt;=30,2,IF(B198&gt;=10,1,0)))))</x:f>
        <x:v>0</x:v>
      </x:c>
      <x:c r="P198" s="7" t="n">
        <x:f>IF(C198&gt;=5,4,IF(C198&gt;=2,3,IF(C198&gt;=1,2,IF(C198&gt;0,1,0))))</x:f>
        <x:v>0</x:v>
      </x:c>
      <x:c r="Q198" s="7" t="n">
        <x:f>N198*2+O198+P198+IF(F198&gt;=0.2,1,0)+IF(K198="Gap",2,0)-IF(I198&lt;=2,5,0)</x:f>
        <x:v>10</x:v>
      </x:c>
      <x:c r="R198" s="7" t="str">
        <x:f>IF(I198&lt;=2,"D",IF(Q198&gt;=15,"A",IF(Q198&gt;=11,"B",IF(Q198&gt;=7,"C","D"))))</x:f>
        <x:v>C</x:v>
      </x:c>
      <x:c r="S198" s="12" t="n">
        <x:f>B198*'Dashboard'!$B$11</x:f>
        <x:v>0</x:v>
      </x:c>
      <x:c r="T198" s="10" t="n">
        <x:f>S198*'Dashboard'!$D$11</x:f>
        <x:v>0</x:v>
      </x:c>
      <x:c r="U198" s="7" t="str">
        <x:v>Low-volume commercial long tail; retain only when real supply evidence is available.</x:v>
      </x:c>
    </x:row>
    <x:row r="199" ht="19" customHeight="1">
      <x:c r="A199" s="7" t="str">
        <x:v>dg4v equivalent</x:v>
      </x:c>
      <x:c r="B199" s="8" t="n">
        <x:v>0</x:v>
      </x:c>
      <x:c r="C199" s="9" t="n">
        <x:v>0</x:v>
      </x:c>
      <x:c r="D199" s="10" t="n">
        <x:v>0</x:v>
      </x:c>
      <x:c r="E199" s="8" t="n">
        <x:v>0</x:v>
      </x:c>
      <x:c r="F199" s="11" t="n">
        <x:v>0</x:v>
      </x:c>
      <x:c r="G199" s="7" t="str">
        <x:v>Commercial</x:v>
      </x:c>
      <x:c r="H199" s="7" t="str">
        <x:v>Replacement &amp; Cross-reference</x:v>
      </x:c>
      <x:c r="I199" s="7" t="n">
        <x:v>5</x:v>
      </x:c>
      <x:c r="J199" s="7" t="str">
        <x:v>/series/dg4v/</x:v>
      </x:c>
      <x:c r="K199" s="7" t="str">
        <x:v>Covered</x:v>
      </x:c>
      <x:c r="L199" s="7" t="str">
        <x:v>Optimize existing page</x:v>
      </x:c>
      <x:c r="M199" s="7" t="str">
        <x:v>Series hub</x:v>
      </x:c>
      <x:c r="N199" s="7" t="n">
        <x:v>5</x:v>
      </x:c>
      <x:c r="O199" s="7" t="n">
        <x:f>IF(B199&gt;=1000,5,IF(B199&gt;=300,4,IF(B199&gt;=100,3,IF(B199&gt;=30,2,IF(B199&gt;=10,1,0)))))</x:f>
        <x:v>0</x:v>
      </x:c>
      <x:c r="P199" s="7" t="n">
        <x:f>IF(C199&gt;=5,4,IF(C199&gt;=2,3,IF(C199&gt;=1,2,IF(C199&gt;0,1,0))))</x:f>
        <x:v>0</x:v>
      </x:c>
      <x:c r="Q199" s="7" t="n">
        <x:f>N199*2+O199+P199+IF(F199&gt;=0.2,1,0)+IF(K199="Gap",2,0)-IF(I199&lt;=2,5,0)</x:f>
        <x:v>10</x:v>
      </x:c>
      <x:c r="R199" s="7" t="str">
        <x:f>IF(I199&lt;=2,"D",IF(Q199&gt;=15,"A",IF(Q199&gt;=11,"B",IF(Q199&gt;=7,"C","D"))))</x:f>
        <x:v>C</x:v>
      </x:c>
      <x:c r="S199" s="12" t="n">
        <x:f>B199*'Dashboard'!$B$11</x:f>
        <x:v>0</x:v>
      </x:c>
      <x:c r="T199" s="10" t="n">
        <x:f>S199*'Dashboard'!$D$11</x:f>
        <x:v>0</x:v>
      </x:c>
      <x:c r="U199" s="7" t="str">
        <x:v>Low-volume commercial long tail; retain only when real supply evidence is available.</x:v>
      </x:c>
    </x:row>
    <x:row r="200" ht="19" customHeight="1">
      <x:c r="A200" s="7" t="str">
        <x:v>dg4v parts</x:v>
      </x:c>
      <x:c r="B200" s="8" t="n">
        <x:v>0</x:v>
      </x:c>
      <x:c r="C200" s="9" t="n">
        <x:v>0</x:v>
      </x:c>
      <x:c r="D200" s="10" t="n">
        <x:v>0</x:v>
      </x:c>
      <x:c r="E200" s="8" t="n">
        <x:v>0</x:v>
      </x:c>
      <x:c r="F200" s="11" t="n">
        <x:v>0</x:v>
      </x:c>
      <x:c r="G200" s="7" t="str">
        <x:v>Commercial</x:v>
      </x:c>
      <x:c r="H200" s="7" t="str">
        <x:v>Hydraulic Valves</x:v>
      </x:c>
      <x:c r="I200" s="7" t="n">
        <x:v>5</x:v>
      </x:c>
      <x:c r="J200" s="7" t="str">
        <x:v>/series/dg4v/</x:v>
      </x:c>
      <x:c r="K200" s="7" t="str">
        <x:v>Covered</x:v>
      </x:c>
      <x:c r="L200" s="7" t="str">
        <x:v>Optimize existing page</x:v>
      </x:c>
      <x:c r="M200" s="7" t="str">
        <x:v>Series hub</x:v>
      </x:c>
      <x:c r="N200" s="7" t="n">
        <x:v>5</x:v>
      </x:c>
      <x:c r="O200" s="7" t="n">
        <x:f>IF(B200&gt;=1000,5,IF(B200&gt;=300,4,IF(B200&gt;=100,3,IF(B200&gt;=30,2,IF(B200&gt;=10,1,0)))))</x:f>
        <x:v>0</x:v>
      </x:c>
      <x:c r="P200" s="7" t="n">
        <x:f>IF(C200&gt;=5,4,IF(C200&gt;=2,3,IF(C200&gt;=1,2,IF(C200&gt;0,1,0))))</x:f>
        <x:v>0</x:v>
      </x:c>
      <x:c r="Q200" s="7" t="n">
        <x:f>N200*2+O200+P200+IF(F200&gt;=0.2,1,0)+IF(K200="Gap",2,0)-IF(I200&lt;=2,5,0)</x:f>
        <x:v>10</x:v>
      </x:c>
      <x:c r="R200" s="7" t="str">
        <x:f>IF(I200&lt;=2,"D",IF(Q200&gt;=15,"A",IF(Q200&gt;=11,"B",IF(Q200&gt;=7,"C","D"))))</x:f>
        <x:v>C</x:v>
      </x:c>
      <x:c r="S200" s="12" t="n">
        <x:f>B200*'Dashboard'!$B$11</x:f>
        <x:v>0</x:v>
      </x:c>
      <x:c r="T200" s="10" t="n">
        <x:f>S200*'Dashboard'!$D$11</x:f>
        <x:v>0</x:v>
      </x:c>
      <x:c r="U200" s="7" t="str">
        <x:v>Low-volume commercial long tail; retain only when real supply evidence is available.</x:v>
      </x:c>
    </x:row>
    <x:row r="201" ht="19" customHeight="1">
      <x:c r="A201" s="7" t="str">
        <x:v>dg4v replacement</x:v>
      </x:c>
      <x:c r="B201" s="8" t="n">
        <x:v>0</x:v>
      </x:c>
      <x:c r="C201" s="9" t="n">
        <x:v>0</x:v>
      </x:c>
      <x:c r="D201" s="10" t="n">
        <x:v>0</x:v>
      </x:c>
      <x:c r="E201" s="8" t="n">
        <x:v>0</x:v>
      </x:c>
      <x:c r="F201" s="11" t="n">
        <x:v>0</x:v>
      </x:c>
      <x:c r="G201" s="7" t="str">
        <x:v>Commercial</x:v>
      </x:c>
      <x:c r="H201" s="7" t="str">
        <x:v>Replacement &amp; Cross-reference</x:v>
      </x:c>
      <x:c r="I201" s="7" t="n">
        <x:v>5</x:v>
      </x:c>
      <x:c r="J201" s="7" t="str">
        <x:v>/series/dg4v/</x:v>
      </x:c>
      <x:c r="K201" s="7" t="str">
        <x:v>Covered</x:v>
      </x:c>
      <x:c r="L201" s="7" t="str">
        <x:v>Optimize existing page</x:v>
      </x:c>
      <x:c r="M201" s="7" t="str">
        <x:v>Series hub</x:v>
      </x:c>
      <x:c r="N201" s="7" t="n">
        <x:v>5</x:v>
      </x:c>
      <x:c r="O201" s="7" t="n">
        <x:f>IF(B201&gt;=1000,5,IF(B201&gt;=300,4,IF(B201&gt;=100,3,IF(B201&gt;=30,2,IF(B201&gt;=10,1,0)))))</x:f>
        <x:v>0</x:v>
      </x:c>
      <x:c r="P201" s="7" t="n">
        <x:f>IF(C201&gt;=5,4,IF(C201&gt;=2,3,IF(C201&gt;=1,2,IF(C201&gt;0,1,0))))</x:f>
        <x:v>0</x:v>
      </x:c>
      <x:c r="Q201" s="7" t="n">
        <x:f>N201*2+O201+P201+IF(F201&gt;=0.2,1,0)+IF(K201="Gap",2,0)-IF(I201&lt;=2,5,0)</x:f>
        <x:v>10</x:v>
      </x:c>
      <x:c r="R201" s="7" t="str">
        <x:f>IF(I201&lt;=2,"D",IF(Q201&gt;=15,"A",IF(Q201&gt;=11,"B",IF(Q201&gt;=7,"C","D"))))</x:f>
        <x:v>C</x:v>
      </x:c>
      <x:c r="S201" s="12" t="n">
        <x:f>B201*'Dashboard'!$B$11</x:f>
        <x:v>0</x:v>
      </x:c>
      <x:c r="T201" s="10" t="n">
        <x:f>S201*'Dashboard'!$D$11</x:f>
        <x:v>0</x:v>
      </x:c>
      <x:c r="U201" s="7" t="str">
        <x:v>Low-volume commercial long tail; retain only when real supply evidence is available.</x:v>
      </x:c>
    </x:row>
    <x:row r="202" ht="19" customHeight="1">
      <x:c r="A202" s="7" t="str">
        <x:v>dg4v seal kit</x:v>
      </x:c>
      <x:c r="B202" s="8" t="n">
        <x:v>0</x:v>
      </x:c>
      <x:c r="C202" s="9" t="n">
        <x:v>0</x:v>
      </x:c>
      <x:c r="D202" s="10" t="n">
        <x:v>0</x:v>
      </x:c>
      <x:c r="E202" s="8" t="n">
        <x:v>0</x:v>
      </x:c>
      <x:c r="F202" s="11" t="n">
        <x:v>0</x:v>
      </x:c>
      <x:c r="G202" s="7" t="str">
        <x:v>Commercial</x:v>
      </x:c>
      <x:c r="H202" s="7" t="str">
        <x:v>Repair Kits &amp; Service Parts</x:v>
      </x:c>
      <x:c r="I202" s="7" t="n">
        <x:v>5</x:v>
      </x:c>
      <x:c r="J202" s="7" t="str">
        <x:v>/series/dg4v/</x:v>
      </x:c>
      <x:c r="K202" s="7" t="str">
        <x:v>Covered</x:v>
      </x:c>
      <x:c r="L202" s="7" t="str">
        <x:v>Optimize existing page</x:v>
      </x:c>
      <x:c r="M202" s="7" t="str">
        <x:v>Series hub</x:v>
      </x:c>
      <x:c r="N202" s="7" t="n">
        <x:v>5</x:v>
      </x:c>
      <x:c r="O202" s="7" t="n">
        <x:f>IF(B202&gt;=1000,5,IF(B202&gt;=300,4,IF(B202&gt;=100,3,IF(B202&gt;=30,2,IF(B202&gt;=10,1,0)))))</x:f>
        <x:v>0</x:v>
      </x:c>
      <x:c r="P202" s="7" t="n">
        <x:f>IF(C202&gt;=5,4,IF(C202&gt;=2,3,IF(C202&gt;=1,2,IF(C202&gt;0,1,0))))</x:f>
        <x:v>0</x:v>
      </x:c>
      <x:c r="Q202" s="7" t="n">
        <x:f>N202*2+O202+P202+IF(F202&gt;=0.2,1,0)+IF(K202="Gap",2,0)-IF(I202&lt;=2,5,0)</x:f>
        <x:v>10</x:v>
      </x:c>
      <x:c r="R202" s="7" t="str">
        <x:f>IF(I202&lt;=2,"D",IF(Q202&gt;=15,"A",IF(Q202&gt;=11,"B",IF(Q202&gt;=7,"C","D"))))</x:f>
        <x:v>C</x:v>
      </x:c>
      <x:c r="S202" s="12" t="n">
        <x:f>B202*'Dashboard'!$B$11</x:f>
        <x:v>0</x:v>
      </x:c>
      <x:c r="T202" s="10" t="n">
        <x:f>S202*'Dashboard'!$D$11</x:f>
        <x:v>0</x:v>
      </x:c>
      <x:c r="U202" s="7" t="str">
        <x:v>Low-volume commercial long tail; retain only when real supply evidence is available.</x:v>
      </x:c>
    </x:row>
    <x:row r="203" ht="19" customHeight="1">
      <x:c r="A203" s="7" t="str">
        <x:v>dg4v supplier</x:v>
      </x:c>
      <x:c r="B203" s="8" t="n">
        <x:v>0</x:v>
      </x:c>
      <x:c r="C203" s="9" t="n">
        <x:v>0</x:v>
      </x:c>
      <x:c r="D203" s="10" t="n">
        <x:v>0</x:v>
      </x:c>
      <x:c r="E203" s="8" t="n">
        <x:v>0</x:v>
      </x:c>
      <x:c r="F203" s="11" t="n">
        <x:v>0</x:v>
      </x:c>
      <x:c r="G203" s="7" t="str">
        <x:v>Transactional</x:v>
      </x:c>
      <x:c r="H203" s="7" t="str">
        <x:v>Hydraulic Valves</x:v>
      </x:c>
      <x:c r="I203" s="7" t="n">
        <x:v>5</x:v>
      </x:c>
      <x:c r="J203" s="7" t="str">
        <x:v>/series/dg4v/</x:v>
      </x:c>
      <x:c r="K203" s="7" t="str">
        <x:v>Covered</x:v>
      </x:c>
      <x:c r="L203" s="7" t="str">
        <x:v>Optimize existing page</x:v>
      </x:c>
      <x:c r="M203" s="7" t="str">
        <x:v>Series hub</x:v>
      </x:c>
      <x:c r="N203" s="7" t="n">
        <x:v>5</x:v>
      </x:c>
      <x:c r="O203" s="7" t="n">
        <x:f>IF(B203&gt;=1000,5,IF(B203&gt;=300,4,IF(B203&gt;=100,3,IF(B203&gt;=30,2,IF(B203&gt;=10,1,0)))))</x:f>
        <x:v>0</x:v>
      </x:c>
      <x:c r="P203" s="7" t="n">
        <x:f>IF(C203&gt;=5,4,IF(C203&gt;=2,3,IF(C203&gt;=1,2,IF(C203&gt;0,1,0))))</x:f>
        <x:v>0</x:v>
      </x:c>
      <x:c r="Q203" s="7" t="n">
        <x:f>N203*2+O203+P203+IF(F203&gt;=0.2,1,0)+IF(K203="Gap",2,0)-IF(I203&lt;=2,5,0)</x:f>
        <x:v>10</x:v>
      </x:c>
      <x:c r="R203" s="7" t="str">
        <x:f>IF(I203&lt;=2,"D",IF(Q203&gt;=15,"A",IF(Q203&gt;=11,"B",IF(Q203&gt;=7,"C","D"))))</x:f>
        <x:v>C</x:v>
      </x:c>
      <x:c r="S203" s="12" t="n">
        <x:f>B203*'Dashboard'!$B$11</x:f>
        <x:v>0</x:v>
      </x:c>
      <x:c r="T203" s="10" t="n">
        <x:f>S203*'Dashboard'!$D$11</x:f>
        <x:v>0</x:v>
      </x:c>
      <x:c r="U203" s="7" t="str">
        <x:v>Low-volume commercial long tail; retain only when real supply evidence is available.</x:v>
      </x:c>
    </x:row>
    <x:row r="204" ht="19" customHeight="1">
      <x:c r="A204" s="7" t="str">
        <x:v>dg4v-3-6c-m-u-h7-60 replacement</x:v>
      </x:c>
      <x:c r="B204" s="8" t="n">
        <x:v>0</x:v>
      </x:c>
      <x:c r="C204" s="9" t="n">
        <x:v>0</x:v>
      </x:c>
      <x:c r="D204" s="10" t="n">
        <x:v>0</x:v>
      </x:c>
      <x:c r="E204" s="8" t="n">
        <x:v>0</x:v>
      </x:c>
      <x:c r="F204" s="11" t="n">
        <x:v>0</x:v>
      </x:c>
      <x:c r="G204" s="7" t="str">
        <x:v>Commercial</x:v>
      </x:c>
      <x:c r="H204" s="7" t="str">
        <x:v>Replacement &amp; Cross-reference</x:v>
      </x:c>
      <x:c r="I204" s="7" t="n">
        <x:v>5</x:v>
      </x:c>
      <x:c r="J204" s="7" t="str">
        <x:v>/models/eaton-vickers-dg4v-3-6c-m-u-h7-60/</x:v>
      </x:c>
      <x:c r="K204" s="7" t="str">
        <x:v>Covered</x:v>
      </x:c>
      <x:c r="L204" s="7" t="str">
        <x:v>Optimize existing page</x:v>
      </x:c>
      <x:c r="M204" s="7" t="str">
        <x:v>Model record</x:v>
      </x:c>
      <x:c r="N204" s="7" t="n">
        <x:v>5</x:v>
      </x:c>
      <x:c r="O204" s="7" t="n">
        <x:f>IF(B204&gt;=1000,5,IF(B204&gt;=300,4,IF(B204&gt;=100,3,IF(B204&gt;=30,2,IF(B204&gt;=10,1,0)))))</x:f>
        <x:v>0</x:v>
      </x:c>
      <x:c r="P204" s="7" t="n">
        <x:f>IF(C204&gt;=5,4,IF(C204&gt;=2,3,IF(C204&gt;=1,2,IF(C204&gt;0,1,0))))</x:f>
        <x:v>0</x:v>
      </x:c>
      <x:c r="Q204" s="7" t="n">
        <x:f>N204*2+O204+P204+IF(F204&gt;=0.2,1,0)+IF(K204="Gap",2,0)-IF(I204&lt;=2,5,0)</x:f>
        <x:v>10</x:v>
      </x:c>
      <x:c r="R204" s="7" t="str">
        <x:f>IF(I204&lt;=2,"D",IF(Q204&gt;=15,"A",IF(Q204&gt;=11,"B",IF(Q204&gt;=7,"C","D"))))</x:f>
        <x:v>C</x:v>
      </x:c>
      <x:c r="S204" s="12" t="n">
        <x:f>B204*'Dashboard'!$B$11</x:f>
        <x:v>0</x:v>
      </x:c>
      <x:c r="T204" s="10" t="n">
        <x:f>S204*'Dashboard'!$D$11</x:f>
        <x:v>0</x:v>
      </x:c>
      <x:c r="U204" s="7" t="str">
        <x:v>Low-volume commercial long tail; retain only when real supply evidence is available.</x:v>
      </x:c>
    </x:row>
    <x:row r="205" ht="19" customHeight="1">
      <x:c r="A205" s="7" t="str">
        <x:v>dg4v-3-6c-m-u-h7-60 seal kit</x:v>
      </x:c>
      <x:c r="B205" s="8" t="n">
        <x:v>0</x:v>
      </x:c>
      <x:c r="C205" s="9" t="n">
        <x:v>0</x:v>
      </x:c>
      <x:c r="D205" s="10" t="n">
        <x:v>0</x:v>
      </x:c>
      <x:c r="E205" s="8" t="n">
        <x:v>0</x:v>
      </x:c>
      <x:c r="F205" s="11" t="n">
        <x:v>0</x:v>
      </x:c>
      <x:c r="G205" s="7" t="str">
        <x:v>Commercial</x:v>
      </x:c>
      <x:c r="H205" s="7" t="str">
        <x:v>Repair Kits &amp; Service Parts</x:v>
      </x:c>
      <x:c r="I205" s="7" t="n">
        <x:v>5</x:v>
      </x:c>
      <x:c r="J205" s="7" t="str">
        <x:v>/models/eaton-vickers-dg4v-3-6c-m-u-h7-60/</x:v>
      </x:c>
      <x:c r="K205" s="7" t="str">
        <x:v>Covered</x:v>
      </x:c>
      <x:c r="L205" s="7" t="str">
        <x:v>Optimize existing page</x:v>
      </x:c>
      <x:c r="M205" s="7" t="str">
        <x:v>Model record</x:v>
      </x:c>
      <x:c r="N205" s="7" t="n">
        <x:v>5</x:v>
      </x:c>
      <x:c r="O205" s="7" t="n">
        <x:f>IF(B205&gt;=1000,5,IF(B205&gt;=300,4,IF(B205&gt;=100,3,IF(B205&gt;=30,2,IF(B205&gt;=10,1,0)))))</x:f>
        <x:v>0</x:v>
      </x:c>
      <x:c r="P205" s="7" t="n">
        <x:f>IF(C205&gt;=5,4,IF(C205&gt;=2,3,IF(C205&gt;=1,2,IF(C205&gt;0,1,0))))</x:f>
        <x:v>0</x:v>
      </x:c>
      <x:c r="Q205" s="7" t="n">
        <x:f>N205*2+O205+P205+IF(F205&gt;=0.2,1,0)+IF(K205="Gap",2,0)-IF(I205&lt;=2,5,0)</x:f>
        <x:v>10</x:v>
      </x:c>
      <x:c r="R205" s="7" t="str">
        <x:f>IF(I205&lt;=2,"D",IF(Q205&gt;=15,"A",IF(Q205&gt;=11,"B",IF(Q205&gt;=7,"C","D"))))</x:f>
        <x:v>C</x:v>
      </x:c>
      <x:c r="S205" s="12" t="n">
        <x:f>B205*'Dashboard'!$B$11</x:f>
        <x:v>0</x:v>
      </x:c>
      <x:c r="T205" s="10" t="n">
        <x:f>S205*'Dashboard'!$D$11</x:f>
        <x:v>0</x:v>
      </x:c>
      <x:c r="U205" s="7" t="str">
        <x:v>Low-volume commercial long tail; retain only when real supply evidence is available.</x:v>
      </x:c>
    </x:row>
    <x:row r="206" ht="19" customHeight="1">
      <x:c r="A206" s="7" t="str">
        <x:v>dg4v-3-6c-m-u-h7-60 supplier</x:v>
      </x:c>
      <x:c r="B206" s="8" t="n">
        <x:v>0</x:v>
      </x:c>
      <x:c r="C206" s="9" t="n">
        <x:v>0</x:v>
      </x:c>
      <x:c r="D206" s="10" t="n">
        <x:v>0</x:v>
      </x:c>
      <x:c r="E206" s="8" t="n">
        <x:v>0</x:v>
      </x:c>
      <x:c r="F206" s="11" t="n">
        <x:v>0</x:v>
      </x:c>
      <x:c r="G206" s="7" t="str">
        <x:v>Transactional</x:v>
      </x:c>
      <x:c r="H206" s="7" t="str">
        <x:v>Hydraulic Valves</x:v>
      </x:c>
      <x:c r="I206" s="7" t="n">
        <x:v>5</x:v>
      </x:c>
      <x:c r="J206" s="7" t="str">
        <x:v>/models/eaton-vickers-dg4v-3-6c-m-u-h7-60/</x:v>
      </x:c>
      <x:c r="K206" s="7" t="str">
        <x:v>Covered</x:v>
      </x:c>
      <x:c r="L206" s="7" t="str">
        <x:v>Optimize existing page</x:v>
      </x:c>
      <x:c r="M206" s="7" t="str">
        <x:v>Model record</x:v>
      </x:c>
      <x:c r="N206" s="7" t="n">
        <x:v>5</x:v>
      </x:c>
      <x:c r="O206" s="7" t="n">
        <x:f>IF(B206&gt;=1000,5,IF(B206&gt;=300,4,IF(B206&gt;=100,3,IF(B206&gt;=30,2,IF(B206&gt;=10,1,0)))))</x:f>
        <x:v>0</x:v>
      </x:c>
      <x:c r="P206" s="7" t="n">
        <x:f>IF(C206&gt;=5,4,IF(C206&gt;=2,3,IF(C206&gt;=1,2,IF(C206&gt;0,1,0))))</x:f>
        <x:v>0</x:v>
      </x:c>
      <x:c r="Q206" s="7" t="n">
        <x:f>N206*2+O206+P206+IF(F206&gt;=0.2,1,0)+IF(K206="Gap",2,0)-IF(I206&lt;=2,5,0)</x:f>
        <x:v>10</x:v>
      </x:c>
      <x:c r="R206" s="7" t="str">
        <x:f>IF(I206&lt;=2,"D",IF(Q206&gt;=15,"A",IF(Q206&gt;=11,"B",IF(Q206&gt;=7,"C","D"))))</x:f>
        <x:v>C</x:v>
      </x:c>
      <x:c r="S206" s="12" t="n">
        <x:f>B206*'Dashboard'!$B$11</x:f>
        <x:v>0</x:v>
      </x:c>
      <x:c r="T206" s="10" t="n">
        <x:f>S206*'Dashboard'!$D$11</x:f>
        <x:v>0</x:v>
      </x:c>
      <x:c r="U206" s="7" t="str">
        <x:v>Low-volume commercial long tail; retain only when real supply evidence is available.</x:v>
      </x:c>
    </x:row>
    <x:row r="207" ht="19" customHeight="1">
      <x:c r="A207" s="7" t="str">
        <x:v>directional control valve aftermarket</x:v>
      </x:c>
      <x:c r="B207" s="8" t="n">
        <x:v>0</x:v>
      </x:c>
      <x:c r="C207" s="9" t="n">
        <x:v>0</x:v>
      </x:c>
      <x:c r="D207" s="10" t="n">
        <x:v>0</x:v>
      </x:c>
      <x:c r="E207" s="8" t="n">
        <x:v>0</x:v>
      </x:c>
      <x:c r="F207" s="11" t="n">
        <x:v>0</x:v>
      </x:c>
      <x:c r="G207" s="7" t="str">
        <x:v>Commercial</x:v>
      </x:c>
      <x:c r="H207" s="7" t="str">
        <x:v>Replacement &amp; Cross-reference</x:v>
      </x:c>
      <x:c r="I207" s="7" t="n">
        <x:v>5</x:v>
      </x:c>
      <x:c r="J207" s="7" t="str">
        <x:v>/products/hydraulic-valves/solenoid-directional-valves/</x:v>
      </x:c>
      <x:c r="K207" s="7" t="str">
        <x:v>Covered</x:v>
      </x:c>
      <x:c r="L207" s="7" t="str">
        <x:v>Optimize existing page</x:v>
      </x:c>
      <x:c r="M207" s="7" t="str">
        <x:v>Alternative / cross-reference</x:v>
      </x:c>
      <x:c r="N207" s="7" t="n">
        <x:v>5</x:v>
      </x:c>
      <x:c r="O207" s="7" t="n">
        <x:f>IF(B207&gt;=1000,5,IF(B207&gt;=300,4,IF(B207&gt;=100,3,IF(B207&gt;=30,2,IF(B207&gt;=10,1,0)))))</x:f>
        <x:v>0</x:v>
      </x:c>
      <x:c r="P207" s="7" t="n">
        <x:f>IF(C207&gt;=5,4,IF(C207&gt;=2,3,IF(C207&gt;=1,2,IF(C207&gt;0,1,0))))</x:f>
        <x:v>0</x:v>
      </x:c>
      <x:c r="Q207" s="7" t="n">
        <x:f>N207*2+O207+P207+IF(F207&gt;=0.2,1,0)+IF(K207="Gap",2,0)-IF(I207&lt;=2,5,0)</x:f>
        <x:v>10</x:v>
      </x:c>
      <x:c r="R207" s="7" t="str">
        <x:f>IF(I207&lt;=2,"D",IF(Q207&gt;=15,"A",IF(Q207&gt;=11,"B",IF(Q207&gt;=7,"C","D"))))</x:f>
        <x:v>C</x:v>
      </x:c>
      <x:c r="S207" s="12" t="n">
        <x:f>B207*'Dashboard'!$B$11</x:f>
        <x:v>0</x:v>
      </x:c>
      <x:c r="T207" s="10" t="n">
        <x:f>S207*'Dashboard'!$D$11</x:f>
        <x:v>0</x:v>
      </x:c>
      <x:c r="U207" s="7" t="str">
        <x:v>Low-volume commercial long tail; retain only when real supply evidence is available.</x:v>
      </x:c>
    </x:row>
    <x:row r="208" ht="19" customHeight="1">
      <x:c r="A208" s="7" t="str">
        <x:v>directional control valve in stock</x:v>
      </x:c>
      <x:c r="B208" s="8" t="n">
        <x:v>0</x:v>
      </x:c>
      <x:c r="C208" s="9" t="n">
        <x:v>0</x:v>
      </x:c>
      <x:c r="D208" s="10" t="n">
        <x:v>0</x:v>
      </x:c>
      <x:c r="E208" s="8" t="n">
        <x:v>0</x:v>
      </x:c>
      <x:c r="F208" s="11" t="n">
        <x:v>0</x:v>
      </x:c>
      <x:c r="G208" s="7" t="str">
        <x:v>Transactional</x:v>
      </x:c>
      <x:c r="H208" s="7" t="str">
        <x:v>Hydraulic Valves</x:v>
      </x:c>
      <x:c r="I208" s="7" t="n">
        <x:v>5</x:v>
      </x:c>
      <x:c r="J208" s="7" t="str">
        <x:v>/products/hydraulic-valves/solenoid-directional-valves/</x:v>
      </x:c>
      <x:c r="K208" s="7" t="str">
        <x:v>Covered</x:v>
      </x:c>
      <x:c r="L208" s="7" t="str">
        <x:v>Optimize existing page</x:v>
      </x:c>
      <x:c r="M208" s="7" t="str">
        <x:v>Product / category</x:v>
      </x:c>
      <x:c r="N208" s="7" t="n">
        <x:v>5</x:v>
      </x:c>
      <x:c r="O208" s="7" t="n">
        <x:f>IF(B208&gt;=1000,5,IF(B208&gt;=300,4,IF(B208&gt;=100,3,IF(B208&gt;=30,2,IF(B208&gt;=10,1,0)))))</x:f>
        <x:v>0</x:v>
      </x:c>
      <x:c r="P208" s="7" t="n">
        <x:f>IF(C208&gt;=5,4,IF(C208&gt;=2,3,IF(C208&gt;=1,2,IF(C208&gt;0,1,0))))</x:f>
        <x:v>0</x:v>
      </x:c>
      <x:c r="Q208" s="7" t="n">
        <x:f>N208*2+O208+P208+IF(F208&gt;=0.2,1,0)+IF(K208="Gap",2,0)-IF(I208&lt;=2,5,0)</x:f>
        <x:v>10</x:v>
      </x:c>
      <x:c r="R208" s="7" t="str">
        <x:f>IF(I208&lt;=2,"D",IF(Q208&gt;=15,"A",IF(Q208&gt;=11,"B",IF(Q208&gt;=7,"C","D"))))</x:f>
        <x:v>C</x:v>
      </x:c>
      <x:c r="S208" s="12" t="n">
        <x:f>B208*'Dashboard'!$B$11</x:f>
        <x:v>0</x:v>
      </x:c>
      <x:c r="T208" s="10" t="n">
        <x:f>S208*'Dashboard'!$D$11</x:f>
        <x:v>0</x:v>
      </x:c>
      <x:c r="U208" s="7" t="str">
        <x:v>Low-volume commercial long tail; retain only when real supply evidence is available.</x:v>
      </x:c>
    </x:row>
    <x:row r="209" ht="19" customHeight="1">
      <x:c r="A209" s="7" t="str">
        <x:v>directional control valve replacement</x:v>
      </x:c>
      <x:c r="B209" s="8" t="n">
        <x:v>0</x:v>
      </x:c>
      <x:c r="C209" s="9" t="n">
        <x:v>0</x:v>
      </x:c>
      <x:c r="D209" s="10" t="n">
        <x:v>0</x:v>
      </x:c>
      <x:c r="E209" s="8" t="n">
        <x:v>0</x:v>
      </x:c>
      <x:c r="F209" s="11" t="n">
        <x:v>0</x:v>
      </x:c>
      <x:c r="G209" s="7" t="str">
        <x:v>Commercial</x:v>
      </x:c>
      <x:c r="H209" s="7" t="str">
        <x:v>Replacement &amp; Cross-reference</x:v>
      </x:c>
      <x:c r="I209" s="7" t="n">
        <x:v>5</x:v>
      </x:c>
      <x:c r="J209" s="7" t="str">
        <x:v>/products/hydraulic-valves/solenoid-directional-valves/</x:v>
      </x:c>
      <x:c r="K209" s="7" t="str">
        <x:v>Covered</x:v>
      </x:c>
      <x:c r="L209" s="7" t="str">
        <x:v>Optimize existing page</x:v>
      </x:c>
      <x:c r="M209" s="7" t="str">
        <x:v>Alternative / cross-reference</x:v>
      </x:c>
      <x:c r="N209" s="7" t="n">
        <x:v>5</x:v>
      </x:c>
      <x:c r="O209" s="7" t="n">
        <x:f>IF(B209&gt;=1000,5,IF(B209&gt;=300,4,IF(B209&gt;=100,3,IF(B209&gt;=30,2,IF(B209&gt;=10,1,0)))))</x:f>
        <x:v>0</x:v>
      </x:c>
      <x:c r="P209" s="7" t="n">
        <x:f>IF(C209&gt;=5,4,IF(C209&gt;=2,3,IF(C209&gt;=1,2,IF(C209&gt;0,1,0))))</x:f>
        <x:v>0</x:v>
      </x:c>
      <x:c r="Q209" s="7" t="n">
        <x:f>N209*2+O209+P209+IF(F209&gt;=0.2,1,0)+IF(K209="Gap",2,0)-IF(I209&lt;=2,5,0)</x:f>
        <x:v>10</x:v>
      </x:c>
      <x:c r="R209" s="7" t="str">
        <x:f>IF(I209&lt;=2,"D",IF(Q209&gt;=15,"A",IF(Q209&gt;=11,"B",IF(Q209&gt;=7,"C","D"))))</x:f>
        <x:v>C</x:v>
      </x:c>
      <x:c r="S209" s="12" t="n">
        <x:f>B209*'Dashboard'!$B$11</x:f>
        <x:v>0</x:v>
      </x:c>
      <x:c r="T209" s="10" t="n">
        <x:f>S209*'Dashboard'!$D$11</x:f>
        <x:v>0</x:v>
      </x:c>
      <x:c r="U209" s="7" t="str">
        <x:v>Low-volume commercial long tail; retain only when real supply evidence is available.</x:v>
      </x:c>
    </x:row>
    <x:row r="210" ht="19" customHeight="1">
      <x:c r="A210" s="7" t="str">
        <x:v>discontinued hydraulic pump replacement</x:v>
      </x:c>
      <x:c r="B210" s="8" t="n">
        <x:v>0</x:v>
      </x:c>
      <x:c r="C210" s="9" t="n">
        <x:v>0</x:v>
      </x:c>
      <x:c r="D210" s="10" t="n">
        <x:v>0</x:v>
      </x:c>
      <x:c r="E210" s="8" t="n">
        <x:v>0</x:v>
      </x:c>
      <x:c r="F210" s="11" t="n">
        <x:v>0</x:v>
      </x:c>
      <x:c r="G210" s="7" t="str">
        <x:v>Commercial</x:v>
      </x:c>
      <x:c r="H210" s="7" t="str">
        <x:v>Replacement &amp; Cross-reference</x:v>
      </x:c>
      <x:c r="I210" s="7" t="n">
        <x:v>5</x:v>
      </x:c>
      <x:c r="J210" s="7" t="str">
        <x:v>/products/hydraulic-pumps/</x:v>
      </x:c>
      <x:c r="K210" s="7" t="str">
        <x:v>Covered</x:v>
      </x:c>
      <x:c r="L210" s="7" t="str">
        <x:v>Optimize existing page</x:v>
      </x:c>
      <x:c r="M210" s="7" t="str">
        <x:v>Alternative / cross-reference</x:v>
      </x:c>
      <x:c r="N210" s="7" t="n">
        <x:v>5</x:v>
      </x:c>
      <x:c r="O210" s="7" t="n">
        <x:f>IF(B210&gt;=1000,5,IF(B210&gt;=300,4,IF(B210&gt;=100,3,IF(B210&gt;=30,2,IF(B210&gt;=10,1,0)))))</x:f>
        <x:v>0</x:v>
      </x:c>
      <x:c r="P210" s="7" t="n">
        <x:f>IF(C210&gt;=5,4,IF(C210&gt;=2,3,IF(C210&gt;=1,2,IF(C210&gt;0,1,0))))</x:f>
        <x:v>0</x:v>
      </x:c>
      <x:c r="Q210" s="7" t="n">
        <x:f>N210*2+O210+P210+IF(F210&gt;=0.2,1,0)+IF(K210="Gap",2,0)-IF(I210&lt;=2,5,0)</x:f>
        <x:v>10</x:v>
      </x:c>
      <x:c r="R210" s="7" t="str">
        <x:f>IF(I210&lt;=2,"D",IF(Q210&gt;=15,"A",IF(Q210&gt;=11,"B",IF(Q210&gt;=7,"C","D"))))</x:f>
        <x:v>C</x:v>
      </x:c>
      <x:c r="S210" s="12" t="n">
        <x:f>B210*'Dashboard'!$B$11</x:f>
        <x:v>0</x:v>
      </x:c>
      <x:c r="T210" s="10" t="n">
        <x:f>S210*'Dashboard'!$D$11</x:f>
        <x:v>0</x:v>
      </x:c>
      <x:c r="U210" s="7" t="str">
        <x:v>Low-volume commercial long tail; retain only when real supply evidence is available.</x:v>
      </x:c>
    </x:row>
    <x:row r="211" ht="19" customHeight="1">
      <x:c r="A211" s="7" t="str">
        <x:v>eaton vickers replacement</x:v>
      </x:c>
      <x:c r="B211" s="8" t="n">
        <x:v>0</x:v>
      </x:c>
      <x:c r="C211" s="9" t="n">
        <x:v>0</x:v>
      </x:c>
      <x:c r="D211" s="10" t="n">
        <x:v>0</x:v>
      </x:c>
      <x:c r="E211" s="8" t="n">
        <x:v>0</x:v>
      </x:c>
      <x:c r="F211" s="11" t="n">
        <x:v>0</x:v>
      </x:c>
      <x:c r="G211" s="7" t="str">
        <x:v>Commercial</x:v>
      </x:c>
      <x:c r="H211" s="7" t="str">
        <x:v>Replacement &amp; Cross-reference</x:v>
      </x:c>
      <x:c r="I211" s="7" t="n">
        <x:v>4</x:v>
      </x:c>
      <x:c r="J211" s="7" t="str">
        <x:v>/brands/eaton-vickers/</x:v>
      </x:c>
      <x:c r="K211" s="7" t="str">
        <x:v>Covered</x:v>
      </x:c>
      <x:c r="L211" s="7" t="str">
        <x:v>Optimize existing page</x:v>
      </x:c>
      <x:c r="M211" s="7" t="str">
        <x:v>Brand hub</x:v>
      </x:c>
      <x:c r="N211" s="7" t="n">
        <x:v>5</x:v>
      </x:c>
      <x:c r="O211" s="7" t="n">
        <x:f>IF(B211&gt;=1000,5,IF(B211&gt;=300,4,IF(B211&gt;=100,3,IF(B211&gt;=30,2,IF(B211&gt;=10,1,0)))))</x:f>
        <x:v>0</x:v>
      </x:c>
      <x:c r="P211" s="7" t="n">
        <x:f>IF(C211&gt;=5,4,IF(C211&gt;=2,3,IF(C211&gt;=1,2,IF(C211&gt;0,1,0))))</x:f>
        <x:v>0</x:v>
      </x:c>
      <x:c r="Q211" s="7" t="n">
        <x:f>N211*2+O211+P211+IF(F211&gt;=0.2,1,0)+IF(K211="Gap",2,0)-IF(I211&lt;=2,5,0)</x:f>
        <x:v>10</x:v>
      </x:c>
      <x:c r="R211" s="7" t="str">
        <x:f>IF(I211&lt;=2,"D",IF(Q211&gt;=15,"A",IF(Q211&gt;=11,"B",IF(Q211&gt;=7,"C","D"))))</x:f>
        <x:v>C</x:v>
      </x:c>
      <x:c r="S211" s="12" t="n">
        <x:f>B211*'Dashboard'!$B$11</x:f>
        <x:v>0</x:v>
      </x:c>
      <x:c r="T211" s="10" t="n">
        <x:f>S211*'Dashboard'!$D$11</x:f>
        <x:v>0</x:v>
      </x:c>
      <x:c r="U211" s="7" t="str">
        <x:v>Low-volume commercial long tail; retain only when real supply evidence is available.</x:v>
      </x:c>
    </x:row>
    <x:row r="212" ht="19" customHeight="1">
      <x:c r="A212" s="7" t="str">
        <x:v>hydraulic cylinder aftermarket</x:v>
      </x:c>
      <x:c r="B212" s="8" t="n">
        <x:v>0</x:v>
      </x:c>
      <x:c r="C212" s="9" t="n">
        <x:v>0</x:v>
      </x:c>
      <x:c r="D212" s="10" t="n">
        <x:v>0</x:v>
      </x:c>
      <x:c r="E212" s="8" t="n">
        <x:v>0</x:v>
      </x:c>
      <x:c r="F212" s="11" t="n">
        <x:v>0</x:v>
      </x:c>
      <x:c r="G212" s="7" t="str">
        <x:v>Commercial</x:v>
      </x:c>
      <x:c r="H212" s="7" t="str">
        <x:v>Replacement &amp; Cross-reference</x:v>
      </x:c>
      <x:c r="I212" s="7" t="n">
        <x:v>5</x:v>
      </x:c>
      <x:c r="J212" s="7" t="str">
        <x:v>/products/hydraulic-cylinders/</x:v>
      </x:c>
      <x:c r="K212" s="7" t="str">
        <x:v>Covered</x:v>
      </x:c>
      <x:c r="L212" s="7" t="str">
        <x:v>Optimize existing page</x:v>
      </x:c>
      <x:c r="M212" s="7" t="str">
        <x:v>Alternative / cross-reference</x:v>
      </x:c>
      <x:c r="N212" s="7" t="n">
        <x:v>5</x:v>
      </x:c>
      <x:c r="O212" s="7" t="n">
        <x:f>IF(B212&gt;=1000,5,IF(B212&gt;=300,4,IF(B212&gt;=100,3,IF(B212&gt;=30,2,IF(B212&gt;=10,1,0)))))</x:f>
        <x:v>0</x:v>
      </x:c>
      <x:c r="P212" s="7" t="n">
        <x:f>IF(C212&gt;=5,4,IF(C212&gt;=2,3,IF(C212&gt;=1,2,IF(C212&gt;0,1,0))))</x:f>
        <x:v>0</x:v>
      </x:c>
      <x:c r="Q212" s="7" t="n">
        <x:f>N212*2+O212+P212+IF(F212&gt;=0.2,1,0)+IF(K212="Gap",2,0)-IF(I212&lt;=2,5,0)</x:f>
        <x:v>10</x:v>
      </x:c>
      <x:c r="R212" s="7" t="str">
        <x:f>IF(I212&lt;=2,"D",IF(Q212&gt;=15,"A",IF(Q212&gt;=11,"B",IF(Q212&gt;=7,"C","D"))))</x:f>
        <x:v>C</x:v>
      </x:c>
      <x:c r="S212" s="12" t="n">
        <x:f>B212*'Dashboard'!$B$11</x:f>
        <x:v>0</x:v>
      </x:c>
      <x:c r="T212" s="10" t="n">
        <x:f>S212*'Dashboard'!$D$11</x:f>
        <x:v>0</x:v>
      </x:c>
      <x:c r="U212" s="7" t="str">
        <x:v>Low-volume commercial long tail; retain only when real supply evidence is available.</x:v>
      </x:c>
    </x:row>
    <x:row r="213" ht="19" customHeight="1">
      <x:c r="A213" s="7" t="str">
        <x:v>hydraulic cylinder in stock</x:v>
      </x:c>
      <x:c r="B213" s="8" t="n">
        <x:v>0</x:v>
      </x:c>
      <x:c r="C213" s="9" t="n">
        <x:v>0</x:v>
      </x:c>
      <x:c r="D213" s="10" t="n">
        <x:v>0</x:v>
      </x:c>
      <x:c r="E213" s="8" t="n">
        <x:v>0</x:v>
      </x:c>
      <x:c r="F213" s="11" t="n">
        <x:v>0</x:v>
      </x:c>
      <x:c r="G213" s="7" t="str">
        <x:v>Transactional</x:v>
      </x:c>
      <x:c r="H213" s="7" t="str">
        <x:v>Hydraulic Cylinders</x:v>
      </x:c>
      <x:c r="I213" s="7" t="n">
        <x:v>5</x:v>
      </x:c>
      <x:c r="J213" s="7" t="str">
        <x:v>/products/hydraulic-cylinders/</x:v>
      </x:c>
      <x:c r="K213" s="7" t="str">
        <x:v>Covered</x:v>
      </x:c>
      <x:c r="L213" s="7" t="str">
        <x:v>Optimize existing page</x:v>
      </x:c>
      <x:c r="M213" s="7" t="str">
        <x:v>Product / category</x:v>
      </x:c>
      <x:c r="N213" s="7" t="n">
        <x:v>5</x:v>
      </x:c>
      <x:c r="O213" s="7" t="n">
        <x:f>IF(B213&gt;=1000,5,IF(B213&gt;=300,4,IF(B213&gt;=100,3,IF(B213&gt;=30,2,IF(B213&gt;=10,1,0)))))</x:f>
        <x:v>0</x:v>
      </x:c>
      <x:c r="P213" s="7" t="n">
        <x:f>IF(C213&gt;=5,4,IF(C213&gt;=2,3,IF(C213&gt;=1,2,IF(C213&gt;0,1,0))))</x:f>
        <x:v>0</x:v>
      </x:c>
      <x:c r="Q213" s="7" t="n">
        <x:f>N213*2+O213+P213+IF(F213&gt;=0.2,1,0)+IF(K213="Gap",2,0)-IF(I213&lt;=2,5,0)</x:f>
        <x:v>10</x:v>
      </x:c>
      <x:c r="R213" s="7" t="str">
        <x:f>IF(I213&lt;=2,"D",IF(Q213&gt;=15,"A",IF(Q213&gt;=11,"B",IF(Q213&gt;=7,"C","D"))))</x:f>
        <x:v>C</x:v>
      </x:c>
      <x:c r="S213" s="12" t="n">
        <x:f>B213*'Dashboard'!$B$11</x:f>
        <x:v>0</x:v>
      </x:c>
      <x:c r="T213" s="10" t="n">
        <x:f>S213*'Dashboard'!$D$11</x:f>
        <x:v>0</x:v>
      </x:c>
      <x:c r="U213" s="7" t="str">
        <x:v>Low-volume commercial long tail; retain only when real supply evidence is available.</x:v>
      </x:c>
    </x:row>
    <x:row r="214" ht="19" customHeight="1">
      <x:c r="A214" s="7" t="str">
        <x:v>hydraulic gear pump aftermarket</x:v>
      </x:c>
      <x:c r="B214" s="8" t="n">
        <x:v>0</x:v>
      </x:c>
      <x:c r="C214" s="9" t="n">
        <x:v>0</x:v>
      </x:c>
      <x:c r="D214" s="10" t="n">
        <x:v>0</x:v>
      </x:c>
      <x:c r="E214" s="8" t="n">
        <x:v>0</x:v>
      </x:c>
      <x:c r="F214" s="11" t="n">
        <x:v>0</x:v>
      </x:c>
      <x:c r="G214" s="7" t="str">
        <x:v>Commercial</x:v>
      </x:c>
      <x:c r="H214" s="7" t="str">
        <x:v>Replacement &amp; Cross-reference</x:v>
      </x:c>
      <x:c r="I214" s="7" t="n">
        <x:v>5</x:v>
      </x:c>
      <x:c r="J214" s="7" t="str">
        <x:v>/products/hydraulic-pumps/gear-pumps/</x:v>
      </x:c>
      <x:c r="K214" s="7" t="str">
        <x:v>Covered</x:v>
      </x:c>
      <x:c r="L214" s="7" t="str">
        <x:v>Optimize existing page</x:v>
      </x:c>
      <x:c r="M214" s="7" t="str">
        <x:v>Alternative / cross-reference</x:v>
      </x:c>
      <x:c r="N214" s="7" t="n">
        <x:v>5</x:v>
      </x:c>
      <x:c r="O214" s="7" t="n">
        <x:f>IF(B214&gt;=1000,5,IF(B214&gt;=300,4,IF(B214&gt;=100,3,IF(B214&gt;=30,2,IF(B214&gt;=10,1,0)))))</x:f>
        <x:v>0</x:v>
      </x:c>
      <x:c r="P214" s="7" t="n">
        <x:f>IF(C214&gt;=5,4,IF(C214&gt;=2,3,IF(C214&gt;=1,2,IF(C214&gt;0,1,0))))</x:f>
        <x:v>0</x:v>
      </x:c>
      <x:c r="Q214" s="7" t="n">
        <x:f>N214*2+O214+P214+IF(F214&gt;=0.2,1,0)+IF(K214="Gap",2,0)-IF(I214&lt;=2,5,0)</x:f>
        <x:v>10</x:v>
      </x:c>
      <x:c r="R214" s="7" t="str">
        <x:f>IF(I214&lt;=2,"D",IF(Q214&gt;=15,"A",IF(Q214&gt;=11,"B",IF(Q214&gt;=7,"C","D"))))</x:f>
        <x:v>C</x:v>
      </x:c>
      <x:c r="S214" s="12" t="n">
        <x:f>B214*'Dashboard'!$B$11</x:f>
        <x:v>0</x:v>
      </x:c>
      <x:c r="T214" s="10" t="n">
        <x:f>S214*'Dashboard'!$D$11</x:f>
        <x:v>0</x:v>
      </x:c>
      <x:c r="U214" s="7" t="str">
        <x:v>Low-volume commercial long tail; retain only when real supply evidence is available.</x:v>
      </x:c>
    </x:row>
    <x:row r="215" ht="19" customHeight="1">
      <x:c r="A215" s="7" t="str">
        <x:v>hydraulic gear pump in stock</x:v>
      </x:c>
      <x:c r="B215" s="8" t="n">
        <x:v>0</x:v>
      </x:c>
      <x:c r="C215" s="9" t="n">
        <x:v>0</x:v>
      </x:c>
      <x:c r="D215" s="10" t="n">
        <x:v>0</x:v>
      </x:c>
      <x:c r="E215" s="8" t="n">
        <x:v>0</x:v>
      </x:c>
      <x:c r="F215" s="11" t="n">
        <x:v>0</x:v>
      </x:c>
      <x:c r="G215" s="7" t="str">
        <x:v>Transactional</x:v>
      </x:c>
      <x:c r="H215" s="7" t="str">
        <x:v>Hydraulic Pumps</x:v>
      </x:c>
      <x:c r="I215" s="7" t="n">
        <x:v>5</x:v>
      </x:c>
      <x:c r="J215" s="7" t="str">
        <x:v>/products/hydraulic-pumps/gear-pumps/</x:v>
      </x:c>
      <x:c r="K215" s="7" t="str">
        <x:v>Covered</x:v>
      </x:c>
      <x:c r="L215" s="7" t="str">
        <x:v>Optimize existing page</x:v>
      </x:c>
      <x:c r="M215" s="7" t="str">
        <x:v>Product / category</x:v>
      </x:c>
      <x:c r="N215" s="7" t="n">
        <x:v>5</x:v>
      </x:c>
      <x:c r="O215" s="7" t="n">
        <x:f>IF(B215&gt;=1000,5,IF(B215&gt;=300,4,IF(B215&gt;=100,3,IF(B215&gt;=30,2,IF(B215&gt;=10,1,0)))))</x:f>
        <x:v>0</x:v>
      </x:c>
      <x:c r="P215" s="7" t="n">
        <x:f>IF(C215&gt;=5,4,IF(C215&gt;=2,3,IF(C215&gt;=1,2,IF(C215&gt;0,1,0))))</x:f>
        <x:v>0</x:v>
      </x:c>
      <x:c r="Q215" s="7" t="n">
        <x:f>N215*2+O215+P215+IF(F215&gt;=0.2,1,0)+IF(K215="Gap",2,0)-IF(I215&lt;=2,5,0)</x:f>
        <x:v>10</x:v>
      </x:c>
      <x:c r="R215" s="7" t="str">
        <x:f>IF(I215&lt;=2,"D",IF(Q215&gt;=15,"A",IF(Q215&gt;=11,"B",IF(Q215&gt;=7,"C","D"))))</x:f>
        <x:v>C</x:v>
      </x:c>
      <x:c r="S215" s="12" t="n">
        <x:f>B215*'Dashboard'!$B$11</x:f>
        <x:v>0</x:v>
      </x:c>
      <x:c r="T215" s="10" t="n">
        <x:f>S215*'Dashboard'!$D$11</x:f>
        <x:v>0</x:v>
      </x:c>
      <x:c r="U215" s="7" t="str">
        <x:v>Low-volume commercial long tail; retain only when real supply evidence is available.</x:v>
      </x:c>
    </x:row>
    <x:row r="216" ht="19" customHeight="1">
      <x:c r="A216" s="7" t="str">
        <x:v>hydraulic gear pump replacement</x:v>
      </x:c>
      <x:c r="B216" s="8" t="n">
        <x:v>0</x:v>
      </x:c>
      <x:c r="C216" s="9" t="n">
        <x:v>0</x:v>
      </x:c>
      <x:c r="D216" s="10" t="n">
        <x:v>0</x:v>
      </x:c>
      <x:c r="E216" s="8" t="n">
        <x:v>0</x:v>
      </x:c>
      <x:c r="F216" s="11" t="n">
        <x:v>0</x:v>
      </x:c>
      <x:c r="G216" s="7" t="str">
        <x:v>Commercial</x:v>
      </x:c>
      <x:c r="H216" s="7" t="str">
        <x:v>Replacement &amp; Cross-reference</x:v>
      </x:c>
      <x:c r="I216" s="7" t="n">
        <x:v>5</x:v>
      </x:c>
      <x:c r="J216" s="7" t="str">
        <x:v>/products/hydraulic-pumps/gear-pumps/</x:v>
      </x:c>
      <x:c r="K216" s="7" t="str">
        <x:v>Covered</x:v>
      </x:c>
      <x:c r="L216" s="7" t="str">
        <x:v>Optimize existing page</x:v>
      </x:c>
      <x:c r="M216" s="7" t="str">
        <x:v>Alternative / cross-reference</x:v>
      </x:c>
      <x:c r="N216" s="7" t="n">
        <x:v>5</x:v>
      </x:c>
      <x:c r="O216" s="7" t="n">
        <x:f>IF(B216&gt;=1000,5,IF(B216&gt;=300,4,IF(B216&gt;=100,3,IF(B216&gt;=30,2,IF(B216&gt;=10,1,0)))))</x:f>
        <x:v>0</x:v>
      </x:c>
      <x:c r="P216" s="7" t="n">
        <x:f>IF(C216&gt;=5,4,IF(C216&gt;=2,3,IF(C216&gt;=1,2,IF(C216&gt;0,1,0))))</x:f>
        <x:v>0</x:v>
      </x:c>
      <x:c r="Q216" s="7" t="n">
        <x:f>N216*2+O216+P216+IF(F216&gt;=0.2,1,0)+IF(K216="Gap",2,0)-IF(I216&lt;=2,5,0)</x:f>
        <x:v>10</x:v>
      </x:c>
      <x:c r="R216" s="7" t="str">
        <x:f>IF(I216&lt;=2,"D",IF(Q216&gt;=15,"A",IF(Q216&gt;=11,"B",IF(Q216&gt;=7,"C","D"))))</x:f>
        <x:v>C</x:v>
      </x:c>
      <x:c r="S216" s="12" t="n">
        <x:f>B216*'Dashboard'!$B$11</x:f>
        <x:v>0</x:v>
      </x:c>
      <x:c r="T216" s="10" t="n">
        <x:f>S216*'Dashboard'!$D$11</x:f>
        <x:v>0</x:v>
      </x:c>
      <x:c r="U216" s="7" t="str">
        <x:v>Low-volume commercial long tail; retain only when real supply evidence is available.</x:v>
      </x:c>
    </x:row>
    <x:row r="217" ht="19" customHeight="1">
      <x:c r="A217" s="7" t="str">
        <x:v>hydraulic motor aftermarket</x:v>
      </x:c>
      <x:c r="B217" s="8" t="n">
        <x:v>0</x:v>
      </x:c>
      <x:c r="C217" s="9" t="n">
        <x:v>0</x:v>
      </x:c>
      <x:c r="D217" s="10" t="n">
        <x:v>0</x:v>
      </x:c>
      <x:c r="E217" s="8" t="n">
        <x:v>0</x:v>
      </x:c>
      <x:c r="F217" s="11" t="n">
        <x:v>0</x:v>
      </x:c>
      <x:c r="G217" s="7" t="str">
        <x:v>Commercial</x:v>
      </x:c>
      <x:c r="H217" s="7" t="str">
        <x:v>Replacement &amp; Cross-reference</x:v>
      </x:c>
      <x:c r="I217" s="7" t="n">
        <x:v>5</x:v>
      </x:c>
      <x:c r="J217" s="7" t="str">
        <x:v>/products/hydraulic-motors/</x:v>
      </x:c>
      <x:c r="K217" s="7" t="str">
        <x:v>Covered</x:v>
      </x:c>
      <x:c r="L217" s="7" t="str">
        <x:v>Optimize existing page</x:v>
      </x:c>
      <x:c r="M217" s="7" t="str">
        <x:v>Alternative / cross-reference</x:v>
      </x:c>
      <x:c r="N217" s="7" t="n">
        <x:v>5</x:v>
      </x:c>
      <x:c r="O217" s="7" t="n">
        <x:f>IF(B217&gt;=1000,5,IF(B217&gt;=300,4,IF(B217&gt;=100,3,IF(B217&gt;=30,2,IF(B217&gt;=10,1,0)))))</x:f>
        <x:v>0</x:v>
      </x:c>
      <x:c r="P217" s="7" t="n">
        <x:f>IF(C217&gt;=5,4,IF(C217&gt;=2,3,IF(C217&gt;=1,2,IF(C217&gt;0,1,0))))</x:f>
        <x:v>0</x:v>
      </x:c>
      <x:c r="Q217" s="7" t="n">
        <x:f>N217*2+O217+P217+IF(F217&gt;=0.2,1,0)+IF(K217="Gap",2,0)-IF(I217&lt;=2,5,0)</x:f>
        <x:v>10</x:v>
      </x:c>
      <x:c r="R217" s="7" t="str">
        <x:f>IF(I217&lt;=2,"D",IF(Q217&gt;=15,"A",IF(Q217&gt;=11,"B",IF(Q217&gt;=7,"C","D"))))</x:f>
        <x:v>C</x:v>
      </x:c>
      <x:c r="S217" s="12" t="n">
        <x:f>B217*'Dashboard'!$B$11</x:f>
        <x:v>0</x:v>
      </x:c>
      <x:c r="T217" s="10" t="n">
        <x:f>S217*'Dashboard'!$D$11</x:f>
        <x:v>0</x:v>
      </x:c>
      <x:c r="U217" s="7" t="str">
        <x:v>Low-volume commercial long tail; retain only when real supply evidence is available.</x:v>
      </x:c>
    </x:row>
    <x:row r="218" ht="19" customHeight="1">
      <x:c r="A218" s="7" t="str">
        <x:v>hydraulic motor equivalent</x:v>
      </x:c>
      <x:c r="B218" s="8" t="n">
        <x:v>0</x:v>
      </x:c>
      <x:c r="C218" s="9" t="n">
        <x:v>0</x:v>
      </x:c>
      <x:c r="D218" s="10" t="n">
        <x:v>0</x:v>
      </x:c>
      <x:c r="E218" s="8" t="n">
        <x:v>0</x:v>
      </x:c>
      <x:c r="F218" s="11" t="n">
        <x:v>0</x:v>
      </x:c>
      <x:c r="G218" s="7" t="str">
        <x:v>Commercial</x:v>
      </x:c>
      <x:c r="H218" s="7" t="str">
        <x:v>Replacement &amp; Cross-reference</x:v>
      </x:c>
      <x:c r="I218" s="7" t="n">
        <x:v>5</x:v>
      </x:c>
      <x:c r="J218" s="7" t="str">
        <x:v>/products/hydraulic-motors/</x:v>
      </x:c>
      <x:c r="K218" s="7" t="str">
        <x:v>Covered</x:v>
      </x:c>
      <x:c r="L218" s="7" t="str">
        <x:v>Optimize existing page</x:v>
      </x:c>
      <x:c r="M218" s="7" t="str">
        <x:v>Alternative / cross-reference</x:v>
      </x:c>
      <x:c r="N218" s="7" t="n">
        <x:v>5</x:v>
      </x:c>
      <x:c r="O218" s="7" t="n">
        <x:f>IF(B218&gt;=1000,5,IF(B218&gt;=300,4,IF(B218&gt;=100,3,IF(B218&gt;=30,2,IF(B218&gt;=10,1,0)))))</x:f>
        <x:v>0</x:v>
      </x:c>
      <x:c r="P218" s="7" t="n">
        <x:f>IF(C218&gt;=5,4,IF(C218&gt;=2,3,IF(C218&gt;=1,2,IF(C218&gt;0,1,0))))</x:f>
        <x:v>0</x:v>
      </x:c>
      <x:c r="Q218" s="7" t="n">
        <x:f>N218*2+O218+P218+IF(F218&gt;=0.2,1,0)+IF(K218="Gap",2,0)-IF(I218&lt;=2,5,0)</x:f>
        <x:v>10</x:v>
      </x:c>
      <x:c r="R218" s="7" t="str">
        <x:f>IF(I218&lt;=2,"D",IF(Q218&gt;=15,"A",IF(Q218&gt;=11,"B",IF(Q218&gt;=7,"C","D"))))</x:f>
        <x:v>C</x:v>
      </x:c>
      <x:c r="S218" s="12" t="n">
        <x:f>B218*'Dashboard'!$B$11</x:f>
        <x:v>0</x:v>
      </x:c>
      <x:c r="T218" s="10" t="n">
        <x:f>S218*'Dashboard'!$D$11</x:f>
        <x:v>0</x:v>
      </x:c>
      <x:c r="U218" s="7" t="str">
        <x:v>Low-volume commercial long tail; retain only when real supply evidence is available.</x:v>
      </x:c>
    </x:row>
    <x:row r="219" ht="19" customHeight="1">
      <x:c r="A219" s="7" t="str">
        <x:v>hydraulic motor in stock</x:v>
      </x:c>
      <x:c r="B219" s="8" t="n">
        <x:v>0</x:v>
      </x:c>
      <x:c r="C219" s="9" t="n">
        <x:v>0</x:v>
      </x:c>
      <x:c r="D219" s="10" t="n">
        <x:v>0</x:v>
      </x:c>
      <x:c r="E219" s="8" t="n">
        <x:v>0</x:v>
      </x:c>
      <x:c r="F219" s="11" t="n">
        <x:v>0</x:v>
      </x:c>
      <x:c r="G219" s="7" t="str">
        <x:v>Transactional</x:v>
      </x:c>
      <x:c r="H219" s="7" t="str">
        <x:v>Hydraulic Motors</x:v>
      </x:c>
      <x:c r="I219" s="7" t="n">
        <x:v>5</x:v>
      </x:c>
      <x:c r="J219" s="7" t="str">
        <x:v>/products/hydraulic-motors/</x:v>
      </x:c>
      <x:c r="K219" s="7" t="str">
        <x:v>Covered</x:v>
      </x:c>
      <x:c r="L219" s="7" t="str">
        <x:v>Optimize existing page</x:v>
      </x:c>
      <x:c r="M219" s="7" t="str">
        <x:v>Product / category</x:v>
      </x:c>
      <x:c r="N219" s="7" t="n">
        <x:v>5</x:v>
      </x:c>
      <x:c r="O219" s="7" t="n">
        <x:f>IF(B219&gt;=1000,5,IF(B219&gt;=300,4,IF(B219&gt;=100,3,IF(B219&gt;=30,2,IF(B219&gt;=10,1,0)))))</x:f>
        <x:v>0</x:v>
      </x:c>
      <x:c r="P219" s="7" t="n">
        <x:f>IF(C219&gt;=5,4,IF(C219&gt;=2,3,IF(C219&gt;=1,2,IF(C219&gt;0,1,0))))</x:f>
        <x:v>0</x:v>
      </x:c>
      <x:c r="Q219" s="7" t="n">
        <x:f>N219*2+O219+P219+IF(F219&gt;=0.2,1,0)+IF(K219="Gap",2,0)-IF(I219&lt;=2,5,0)</x:f>
        <x:v>10</x:v>
      </x:c>
      <x:c r="R219" s="7" t="str">
        <x:f>IF(I219&lt;=2,"D",IF(Q219&gt;=15,"A",IF(Q219&gt;=11,"B",IF(Q219&gt;=7,"C","D"))))</x:f>
        <x:v>C</x:v>
      </x:c>
      <x:c r="S219" s="12" t="n">
        <x:f>B219*'Dashboard'!$B$11</x:f>
        <x:v>0</x:v>
      </x:c>
      <x:c r="T219" s="10" t="n">
        <x:f>S219*'Dashboard'!$D$11</x:f>
        <x:v>0</x:v>
      </x:c>
      <x:c r="U219" s="7" t="str">
        <x:v>Low-volume commercial long tail; retain only when real supply evidence is available.</x:v>
      </x:c>
    </x:row>
    <x:row r="220" ht="19" customHeight="1">
      <x:c r="A220" s="7" t="str">
        <x:v>hydraulic motor parts aftermarket</x:v>
      </x:c>
      <x:c r="B220" s="8" t="n">
        <x:v>0</x:v>
      </x:c>
      <x:c r="C220" s="9" t="n">
        <x:v>0</x:v>
      </x:c>
      <x:c r="D220" s="10" t="n">
        <x:v>0</x:v>
      </x:c>
      <x:c r="E220" s="8" t="n">
        <x:v>0</x:v>
      </x:c>
      <x:c r="F220" s="11" t="n">
        <x:v>0</x:v>
      </x:c>
      <x:c r="G220" s="7" t="str">
        <x:v>Commercial</x:v>
      </x:c>
      <x:c r="H220" s="7" t="str">
        <x:v>Replacement &amp; Cross-reference</x:v>
      </x:c>
      <x:c r="I220" s="7" t="n">
        <x:v>5</x:v>
      </x:c>
      <x:c r="J220" s="7" t="str">
        <x:v>/products/hydraulic-motors/</x:v>
      </x:c>
      <x:c r="K220" s="7" t="str">
        <x:v>Covered</x:v>
      </x:c>
      <x:c r="L220" s="7" t="str">
        <x:v>Optimize existing page</x:v>
      </x:c>
      <x:c r="M220" s="7" t="str">
        <x:v>Alternative / cross-reference</x:v>
      </x:c>
      <x:c r="N220" s="7" t="n">
        <x:v>5</x:v>
      </x:c>
      <x:c r="O220" s="7" t="n">
        <x:f>IF(B220&gt;=1000,5,IF(B220&gt;=300,4,IF(B220&gt;=100,3,IF(B220&gt;=30,2,IF(B220&gt;=10,1,0)))))</x:f>
        <x:v>0</x:v>
      </x:c>
      <x:c r="P220" s="7" t="n">
        <x:f>IF(C220&gt;=5,4,IF(C220&gt;=2,3,IF(C220&gt;=1,2,IF(C220&gt;0,1,0))))</x:f>
        <x:v>0</x:v>
      </x:c>
      <x:c r="Q220" s="7" t="n">
        <x:f>N220*2+O220+P220+IF(F220&gt;=0.2,1,0)+IF(K220="Gap",2,0)-IF(I220&lt;=2,5,0)</x:f>
        <x:v>10</x:v>
      </x:c>
      <x:c r="R220" s="7" t="str">
        <x:f>IF(I220&lt;=2,"D",IF(Q220&gt;=15,"A",IF(Q220&gt;=11,"B",IF(Q220&gt;=7,"C","D"))))</x:f>
        <x:v>C</x:v>
      </x:c>
      <x:c r="S220" s="12" t="n">
        <x:f>B220*'Dashboard'!$B$11</x:f>
        <x:v>0</x:v>
      </x:c>
      <x:c r="T220" s="10" t="n">
        <x:f>S220*'Dashboard'!$D$11</x:f>
        <x:v>0</x:v>
      </x:c>
      <x:c r="U220" s="7" t="str">
        <x:v>Low-volume commercial long tail; retain only when real supply evidence is available.</x:v>
      </x:c>
    </x:row>
    <x:row r="221" ht="19" customHeight="1">
      <x:c r="A221" s="7" t="str">
        <x:v>hydraulic motor parts in stock</x:v>
      </x:c>
      <x:c r="B221" s="8" t="n">
        <x:v>0</x:v>
      </x:c>
      <x:c r="C221" s="9" t="n">
        <x:v>0</x:v>
      </x:c>
      <x:c r="D221" s="10" t="n">
        <x:v>0</x:v>
      </x:c>
      <x:c r="E221" s="8" t="n">
        <x:v>0</x:v>
      </x:c>
      <x:c r="F221" s="11" t="n">
        <x:v>0</x:v>
      </x:c>
      <x:c r="G221" s="7" t="str">
        <x:v>Transactional</x:v>
      </x:c>
      <x:c r="H221" s="7" t="str">
        <x:v>Hydraulic Motors</x:v>
      </x:c>
      <x:c r="I221" s="7" t="n">
        <x:v>5</x:v>
      </x:c>
      <x:c r="J221" s="7" t="str">
        <x:v>/products/hydraulic-motors/</x:v>
      </x:c>
      <x:c r="K221" s="7" t="str">
        <x:v>Covered</x:v>
      </x:c>
      <x:c r="L221" s="7" t="str">
        <x:v>Optimize existing page</x:v>
      </x:c>
      <x:c r="M221" s="7" t="str">
        <x:v>Product / category</x:v>
      </x:c>
      <x:c r="N221" s="7" t="n">
        <x:v>5</x:v>
      </x:c>
      <x:c r="O221" s="7" t="n">
        <x:f>IF(B221&gt;=1000,5,IF(B221&gt;=300,4,IF(B221&gt;=100,3,IF(B221&gt;=30,2,IF(B221&gt;=10,1,0)))))</x:f>
        <x:v>0</x:v>
      </x:c>
      <x:c r="P221" s="7" t="n">
        <x:f>IF(C221&gt;=5,4,IF(C221&gt;=2,3,IF(C221&gt;=1,2,IF(C221&gt;0,1,0))))</x:f>
        <x:v>0</x:v>
      </x:c>
      <x:c r="Q221" s="7" t="n">
        <x:f>N221*2+O221+P221+IF(F221&gt;=0.2,1,0)+IF(K221="Gap",2,0)-IF(I221&lt;=2,5,0)</x:f>
        <x:v>10</x:v>
      </x:c>
      <x:c r="R221" s="7" t="str">
        <x:f>IF(I221&lt;=2,"D",IF(Q221&gt;=15,"A",IF(Q221&gt;=11,"B",IF(Q221&gt;=7,"C","D"))))</x:f>
        <x:v>C</x:v>
      </x:c>
      <x:c r="S221" s="12" t="n">
        <x:f>B221*'Dashboard'!$B$11</x:f>
        <x:v>0</x:v>
      </x:c>
      <x:c r="T221" s="10" t="n">
        <x:f>S221*'Dashboard'!$D$11</x:f>
        <x:v>0</x:v>
      </x:c>
      <x:c r="U221" s="7" t="str">
        <x:v>Low-volume commercial long tail; retain only when real supply evidence is available.</x:v>
      </x:c>
    </x:row>
    <x:row r="222" ht="19" customHeight="1">
      <x:c r="A222" s="7" t="str">
        <x:v>hydraulic motor parts manufacturer</x:v>
      </x:c>
      <x:c r="B222" s="8" t="n">
        <x:v>0</x:v>
      </x:c>
      <x:c r="C222" s="9" t="n">
        <x:v>0</x:v>
      </x:c>
      <x:c r="D222" s="10" t="n">
        <x:v>0</x:v>
      </x:c>
      <x:c r="E222" s="8" t="n">
        <x:v>0</x:v>
      </x:c>
      <x:c r="F222" s="11" t="n">
        <x:v>0</x:v>
      </x:c>
      <x:c r="G222" s="7" t="str">
        <x:v>Transactional</x:v>
      </x:c>
      <x:c r="H222" s="7" t="str">
        <x:v>Hydraulic Motors</x:v>
      </x:c>
      <x:c r="I222" s="7" t="n">
        <x:v>5</x:v>
      </x:c>
      <x:c r="J222" s="7" t="str">
        <x:v>/products/hydraulic-motors/</x:v>
      </x:c>
      <x:c r="K222" s="7" t="str">
        <x:v>Covered</x:v>
      </x:c>
      <x:c r="L222" s="7" t="str">
        <x:v>Optimize existing page</x:v>
      </x:c>
      <x:c r="M222" s="7" t="str">
        <x:v>Product / category</x:v>
      </x:c>
      <x:c r="N222" s="7" t="n">
        <x:v>5</x:v>
      </x:c>
      <x:c r="O222" s="7" t="n">
        <x:f>IF(B222&gt;=1000,5,IF(B222&gt;=300,4,IF(B222&gt;=100,3,IF(B222&gt;=30,2,IF(B222&gt;=10,1,0)))))</x:f>
        <x:v>0</x:v>
      </x:c>
      <x:c r="P222" s="7" t="n">
        <x:f>IF(C222&gt;=5,4,IF(C222&gt;=2,3,IF(C222&gt;=1,2,IF(C222&gt;0,1,0))))</x:f>
        <x:v>0</x:v>
      </x:c>
      <x:c r="Q222" s="7" t="n">
        <x:f>N222*2+O222+P222+IF(F222&gt;=0.2,1,0)+IF(K222="Gap",2,0)-IF(I222&lt;=2,5,0)</x:f>
        <x:v>10</x:v>
      </x:c>
      <x:c r="R222" s="7" t="str">
        <x:f>IF(I222&lt;=2,"D",IF(Q222&gt;=15,"A",IF(Q222&gt;=11,"B",IF(Q222&gt;=7,"C","D"))))</x:f>
        <x:v>C</x:v>
      </x:c>
      <x:c r="S222" s="12" t="n">
        <x:f>B222*'Dashboard'!$B$11</x:f>
        <x:v>0</x:v>
      </x:c>
      <x:c r="T222" s="10" t="n">
        <x:f>S222*'Dashboard'!$D$11</x:f>
        <x:v>0</x:v>
      </x:c>
      <x:c r="U222" s="7" t="str">
        <x:v>Low-volume commercial long tail; retain only when real supply evidence is available.</x:v>
      </x:c>
    </x:row>
    <x:row r="223" ht="19" customHeight="1">
      <x:c r="A223" s="7" t="str">
        <x:v>hydraulic motor parts replacement</x:v>
      </x:c>
      <x:c r="B223" s="8" t="n">
        <x:v>0</x:v>
      </x:c>
      <x:c r="C223" s="9" t="n">
        <x:v>0</x:v>
      </x:c>
      <x:c r="D223" s="10" t="n">
        <x:v>0</x:v>
      </x:c>
      <x:c r="E223" s="8" t="n">
        <x:v>0</x:v>
      </x:c>
      <x:c r="F223" s="11" t="n">
        <x:v>0</x:v>
      </x:c>
      <x:c r="G223" s="7" t="str">
        <x:v>Commercial</x:v>
      </x:c>
      <x:c r="H223" s="7" t="str">
        <x:v>Replacement &amp; Cross-reference</x:v>
      </x:c>
      <x:c r="I223" s="7" t="n">
        <x:v>5</x:v>
      </x:c>
      <x:c r="J223" s="7" t="str">
        <x:v>/products/hydraulic-motors/</x:v>
      </x:c>
      <x:c r="K223" s="7" t="str">
        <x:v>Covered</x:v>
      </x:c>
      <x:c r="L223" s="7" t="str">
        <x:v>Optimize existing page</x:v>
      </x:c>
      <x:c r="M223" s="7" t="str">
        <x:v>Alternative / cross-reference</x:v>
      </x:c>
      <x:c r="N223" s="7" t="n">
        <x:v>5</x:v>
      </x:c>
      <x:c r="O223" s="7" t="n">
        <x:f>IF(B223&gt;=1000,5,IF(B223&gt;=300,4,IF(B223&gt;=100,3,IF(B223&gt;=30,2,IF(B223&gt;=10,1,0)))))</x:f>
        <x:v>0</x:v>
      </x:c>
      <x:c r="P223" s="7" t="n">
        <x:f>IF(C223&gt;=5,4,IF(C223&gt;=2,3,IF(C223&gt;=1,2,IF(C223&gt;0,1,0))))</x:f>
        <x:v>0</x:v>
      </x:c>
      <x:c r="Q223" s="7" t="n">
        <x:f>N223*2+O223+P223+IF(F223&gt;=0.2,1,0)+IF(K223="Gap",2,0)-IF(I223&lt;=2,5,0)</x:f>
        <x:v>10</x:v>
      </x:c>
      <x:c r="R223" s="7" t="str">
        <x:f>IF(I223&lt;=2,"D",IF(Q223&gt;=15,"A",IF(Q223&gt;=11,"B",IF(Q223&gt;=7,"C","D"))))</x:f>
        <x:v>C</x:v>
      </x:c>
      <x:c r="S223" s="12" t="n">
        <x:f>B223*'Dashboard'!$B$11</x:f>
        <x:v>0</x:v>
      </x:c>
      <x:c r="T223" s="10" t="n">
        <x:f>S223*'Dashboard'!$D$11</x:f>
        <x:v>0</x:v>
      </x:c>
      <x:c r="U223" s="7" t="str">
        <x:v>Low-volume commercial long tail; retain only when real supply evidence is available.</x:v>
      </x:c>
    </x:row>
    <x:row r="224" ht="19" customHeight="1">
      <x:c r="A224" s="7" t="str">
        <x:v>hydraulic motor parts supplier</x:v>
      </x:c>
      <x:c r="B224" s="8" t="n">
        <x:v>0</x:v>
      </x:c>
      <x:c r="C224" s="9" t="n">
        <x:v>0</x:v>
      </x:c>
      <x:c r="D224" s="10" t="n">
        <x:v>0</x:v>
      </x:c>
      <x:c r="E224" s="8" t="n">
        <x:v>0</x:v>
      </x:c>
      <x:c r="F224" s="11" t="n">
        <x:v>0</x:v>
      </x:c>
      <x:c r="G224" s="7" t="str">
        <x:v>Transactional</x:v>
      </x:c>
      <x:c r="H224" s="7" t="str">
        <x:v>Hydraulic Motors</x:v>
      </x:c>
      <x:c r="I224" s="7" t="n">
        <x:v>5</x:v>
      </x:c>
      <x:c r="J224" s="7" t="str">
        <x:v>/products/hydraulic-motors/</x:v>
      </x:c>
      <x:c r="K224" s="7" t="str">
        <x:v>Covered</x:v>
      </x:c>
      <x:c r="L224" s="7" t="str">
        <x:v>Optimize existing page</x:v>
      </x:c>
      <x:c r="M224" s="7" t="str">
        <x:v>Product / category</x:v>
      </x:c>
      <x:c r="N224" s="7" t="n">
        <x:v>5</x:v>
      </x:c>
      <x:c r="O224" s="7" t="n">
        <x:f>IF(B224&gt;=1000,5,IF(B224&gt;=300,4,IF(B224&gt;=100,3,IF(B224&gt;=30,2,IF(B224&gt;=10,1,0)))))</x:f>
        <x:v>0</x:v>
      </x:c>
      <x:c r="P224" s="7" t="n">
        <x:f>IF(C224&gt;=5,4,IF(C224&gt;=2,3,IF(C224&gt;=1,2,IF(C224&gt;0,1,0))))</x:f>
        <x:v>0</x:v>
      </x:c>
      <x:c r="Q224" s="7" t="n">
        <x:f>N224*2+O224+P224+IF(F224&gt;=0.2,1,0)+IF(K224="Gap",2,0)-IF(I224&lt;=2,5,0)</x:f>
        <x:v>10</x:v>
      </x:c>
      <x:c r="R224" s="7" t="str">
        <x:f>IF(I224&lt;=2,"D",IF(Q224&gt;=15,"A",IF(Q224&gt;=11,"B",IF(Q224&gt;=7,"C","D"))))</x:f>
        <x:v>C</x:v>
      </x:c>
      <x:c r="S224" s="12" t="n">
        <x:f>B224*'Dashboard'!$B$11</x:f>
        <x:v>0</x:v>
      </x:c>
      <x:c r="T224" s="10" t="n">
        <x:f>S224*'Dashboard'!$D$11</x:f>
        <x:v>0</x:v>
      </x:c>
      <x:c r="U224" s="7" t="str">
        <x:v>Low-volume commercial long tail; retain only when real supply evidence is available.</x:v>
      </x:c>
    </x:row>
    <x:row r="225" ht="19" customHeight="1">
      <x:c r="A225" s="7" t="str">
        <x:v>hydraulic motor quote</x:v>
      </x:c>
      <x:c r="B225" s="8" t="n">
        <x:v>0</x:v>
      </x:c>
      <x:c r="C225" s="9" t="n">
        <x:v>0</x:v>
      </x:c>
      <x:c r="D225" s="10" t="n">
        <x:v>0</x:v>
      </x:c>
      <x:c r="E225" s="8" t="n">
        <x:v>0</x:v>
      </x:c>
      <x:c r="F225" s="11" t="n">
        <x:v>0</x:v>
      </x:c>
      <x:c r="G225" s="7" t="str">
        <x:v>Transactional</x:v>
      </x:c>
      <x:c r="H225" s="7" t="str">
        <x:v>Hydraulic Motors</x:v>
      </x:c>
      <x:c r="I225" s="7" t="n">
        <x:v>5</x:v>
      </x:c>
      <x:c r="J225" s="7" t="str">
        <x:v>/products/hydraulic-motors/</x:v>
      </x:c>
      <x:c r="K225" s="7" t="str">
        <x:v>Covered</x:v>
      </x:c>
      <x:c r="L225" s="7" t="str">
        <x:v>Optimize existing page</x:v>
      </x:c>
      <x:c r="M225" s="7" t="str">
        <x:v>Product / category</x:v>
      </x:c>
      <x:c r="N225" s="7" t="n">
        <x:v>5</x:v>
      </x:c>
      <x:c r="O225" s="7" t="n">
        <x:f>IF(B225&gt;=1000,5,IF(B225&gt;=300,4,IF(B225&gt;=100,3,IF(B225&gt;=30,2,IF(B225&gt;=10,1,0)))))</x:f>
        <x:v>0</x:v>
      </x:c>
      <x:c r="P225" s="7" t="n">
        <x:f>IF(C225&gt;=5,4,IF(C225&gt;=2,3,IF(C225&gt;=1,2,IF(C225&gt;0,1,0))))</x:f>
        <x:v>0</x:v>
      </x:c>
      <x:c r="Q225" s="7" t="n">
        <x:f>N225*2+O225+P225+IF(F225&gt;=0.2,1,0)+IF(K225="Gap",2,0)-IF(I225&lt;=2,5,0)</x:f>
        <x:v>10</x:v>
      </x:c>
      <x:c r="R225" s="7" t="str">
        <x:f>IF(I225&lt;=2,"D",IF(Q225&gt;=15,"A",IF(Q225&gt;=11,"B",IF(Q225&gt;=7,"C","D"))))</x:f>
        <x:v>C</x:v>
      </x:c>
      <x:c r="S225" s="12" t="n">
        <x:f>B225*'Dashboard'!$B$11</x:f>
        <x:v>0</x:v>
      </x:c>
      <x:c r="T225" s="10" t="n">
        <x:f>S225*'Dashboard'!$D$11</x:f>
        <x:v>0</x:v>
      </x:c>
      <x:c r="U225" s="7" t="str">
        <x:v>Low-volume commercial long tail; retain only when real supply evidence is available.</x:v>
      </x:c>
    </x:row>
    <x:row r="226" ht="19" customHeight="1">
      <x:c r="A226" s="7" t="str">
        <x:v>hydraulic motor repair parts supplier</x:v>
      </x:c>
      <x:c r="B226" s="8" t="n">
        <x:v>0</x:v>
      </x:c>
      <x:c r="C226" s="9" t="n">
        <x:v>0</x:v>
      </x:c>
      <x:c r="D226" s="10" t="n">
        <x:v>0</x:v>
      </x:c>
      <x:c r="E226" s="8" t="n">
        <x:v>0</x:v>
      </x:c>
      <x:c r="F226" s="11" t="n">
        <x:v>0</x:v>
      </x:c>
      <x:c r="G226" s="7" t="str">
        <x:v>Transactional</x:v>
      </x:c>
      <x:c r="H226" s="7" t="str">
        <x:v>Repair Kits &amp; Service Parts</x:v>
      </x:c>
      <x:c r="I226" s="7" t="n">
        <x:v>5</x:v>
      </x:c>
      <x:c r="J226" s="7" t="str">
        <x:v>/products/hydraulic-repair-kits/</x:v>
      </x:c>
      <x:c r="K226" s="7" t="str">
        <x:v>Covered</x:v>
      </x:c>
      <x:c r="L226" s="7" t="str">
        <x:v>Optimize existing page</x:v>
      </x:c>
      <x:c r="M226" s="7" t="str">
        <x:v>Product / category</x:v>
      </x:c>
      <x:c r="N226" s="7" t="n">
        <x:v>5</x:v>
      </x:c>
      <x:c r="O226" s="7" t="n">
        <x:f>IF(B226&gt;=1000,5,IF(B226&gt;=300,4,IF(B226&gt;=100,3,IF(B226&gt;=30,2,IF(B226&gt;=10,1,0)))))</x:f>
        <x:v>0</x:v>
      </x:c>
      <x:c r="P226" s="7" t="n">
        <x:f>IF(C226&gt;=5,4,IF(C226&gt;=2,3,IF(C226&gt;=1,2,IF(C226&gt;0,1,0))))</x:f>
        <x:v>0</x:v>
      </x:c>
      <x:c r="Q226" s="7" t="n">
        <x:f>N226*2+O226+P226+IF(F226&gt;=0.2,1,0)+IF(K226="Gap",2,0)-IF(I226&lt;=2,5,0)</x:f>
        <x:v>10</x:v>
      </x:c>
      <x:c r="R226" s="7" t="str">
        <x:f>IF(I226&lt;=2,"D",IF(Q226&gt;=15,"A",IF(Q226&gt;=11,"B",IF(Q226&gt;=7,"C","D"))))</x:f>
        <x:v>C</x:v>
      </x:c>
      <x:c r="S226" s="12" t="n">
        <x:f>B226*'Dashboard'!$B$11</x:f>
        <x:v>0</x:v>
      </x:c>
      <x:c r="T226" s="10" t="n">
        <x:f>S226*'Dashboard'!$D$11</x:f>
        <x:v>0</x:v>
      </x:c>
      <x:c r="U226" s="7" t="str">
        <x:v>Low-volume commercial long tail; retain only when real supply evidence is available.</x:v>
      </x:c>
    </x:row>
    <x:row r="227" ht="19" customHeight="1">
      <x:c r="A227" s="7" t="str">
        <x:v>hydraulic motor replacement</x:v>
      </x:c>
      <x:c r="B227" s="8" t="n">
        <x:v>0</x:v>
      </x:c>
      <x:c r="C227" s="9" t="n">
        <x:v>0</x:v>
      </x:c>
      <x:c r="D227" s="10" t="n">
        <x:v>0</x:v>
      </x:c>
      <x:c r="E227" s="8" t="n">
        <x:v>0</x:v>
      </x:c>
      <x:c r="F227" s="11" t="n">
        <x:v>0</x:v>
      </x:c>
      <x:c r="G227" s="7" t="str">
        <x:v>Commercial</x:v>
      </x:c>
      <x:c r="H227" s="7" t="str">
        <x:v>Replacement &amp; Cross-reference</x:v>
      </x:c>
      <x:c r="I227" s="7" t="n">
        <x:v>5</x:v>
      </x:c>
      <x:c r="J227" s="7" t="str">
        <x:v>/products/hydraulic-motors/</x:v>
      </x:c>
      <x:c r="K227" s="7" t="str">
        <x:v>Covered</x:v>
      </x:c>
      <x:c r="L227" s="7" t="str">
        <x:v>Optimize existing page</x:v>
      </x:c>
      <x:c r="M227" s="7" t="str">
        <x:v>Alternative / cross-reference</x:v>
      </x:c>
      <x:c r="N227" s="7" t="n">
        <x:v>5</x:v>
      </x:c>
      <x:c r="O227" s="7" t="n">
        <x:f>IF(B227&gt;=1000,5,IF(B227&gt;=300,4,IF(B227&gt;=100,3,IF(B227&gt;=30,2,IF(B227&gt;=10,1,0)))))</x:f>
        <x:v>0</x:v>
      </x:c>
      <x:c r="P227" s="7" t="n">
        <x:f>IF(C227&gt;=5,4,IF(C227&gt;=2,3,IF(C227&gt;=1,2,IF(C227&gt;0,1,0))))</x:f>
        <x:v>0</x:v>
      </x:c>
      <x:c r="Q227" s="7" t="n">
        <x:f>N227*2+O227+P227+IF(F227&gt;=0.2,1,0)+IF(K227="Gap",2,0)-IF(I227&lt;=2,5,0)</x:f>
        <x:v>10</x:v>
      </x:c>
      <x:c r="R227" s="7" t="str">
        <x:f>IF(I227&lt;=2,"D",IF(Q227&gt;=15,"A",IF(Q227&gt;=11,"B",IF(Q227&gt;=7,"C","D"))))</x:f>
        <x:v>C</x:v>
      </x:c>
      <x:c r="S227" s="12" t="n">
        <x:f>B227*'Dashboard'!$B$11</x:f>
        <x:v>0</x:v>
      </x:c>
      <x:c r="T227" s="10" t="n">
        <x:f>S227*'Dashboard'!$D$11</x:f>
        <x:v>0</x:v>
      </x:c>
      <x:c r="U227" s="7" t="str">
        <x:v>Low-volume commercial long tail; retain only when real supply evidence is available.</x:v>
      </x:c>
    </x:row>
    <x:row r="228" ht="19" customHeight="1">
      <x:c r="A228" s="7" t="str">
        <x:v>hydraulic motor seal kit supplier</x:v>
      </x:c>
      <x:c r="B228" s="8" t="n">
        <x:v>0</x:v>
      </x:c>
      <x:c r="C228" s="9" t="n">
        <x:v>0</x:v>
      </x:c>
      <x:c r="D228" s="10" t="n">
        <x:v>0</x:v>
      </x:c>
      <x:c r="E228" s="8" t="n">
        <x:v>0</x:v>
      </x:c>
      <x:c r="F228" s="11" t="n">
        <x:v>0</x:v>
      </x:c>
      <x:c r="G228" s="7" t="str">
        <x:v>Transactional</x:v>
      </x:c>
      <x:c r="H228" s="7" t="str">
        <x:v>Repair Kits &amp; Service Parts</x:v>
      </x:c>
      <x:c r="I228" s="7" t="n">
        <x:v>5</x:v>
      </x:c>
      <x:c r="J228" s="7" t="str">
        <x:v>/products/hydraulic-repair-kits/</x:v>
      </x:c>
      <x:c r="K228" s="7" t="str">
        <x:v>Covered</x:v>
      </x:c>
      <x:c r="L228" s="7" t="str">
        <x:v>Optimize existing page</x:v>
      </x:c>
      <x:c r="M228" s="7" t="str">
        <x:v>Product / category</x:v>
      </x:c>
      <x:c r="N228" s="7" t="n">
        <x:v>5</x:v>
      </x:c>
      <x:c r="O228" s="7" t="n">
        <x:f>IF(B228&gt;=1000,5,IF(B228&gt;=300,4,IF(B228&gt;=100,3,IF(B228&gt;=30,2,IF(B228&gt;=10,1,0)))))</x:f>
        <x:v>0</x:v>
      </x:c>
      <x:c r="P228" s="7" t="n">
        <x:f>IF(C228&gt;=5,4,IF(C228&gt;=2,3,IF(C228&gt;=1,2,IF(C228&gt;0,1,0))))</x:f>
        <x:v>0</x:v>
      </x:c>
      <x:c r="Q228" s="7" t="n">
        <x:f>N228*2+O228+P228+IF(F228&gt;=0.2,1,0)+IF(K228="Gap",2,0)-IF(I228&lt;=2,5,0)</x:f>
        <x:v>10</x:v>
      </x:c>
      <x:c r="R228" s="7" t="str">
        <x:f>IF(I228&lt;=2,"D",IF(Q228&gt;=15,"A",IF(Q228&gt;=11,"B",IF(Q228&gt;=7,"C","D"))))</x:f>
        <x:v>C</x:v>
      </x:c>
      <x:c r="S228" s="12" t="n">
        <x:f>B228*'Dashboard'!$B$11</x:f>
        <x:v>0</x:v>
      </x:c>
      <x:c r="T228" s="10" t="n">
        <x:f>S228*'Dashboard'!$D$11</x:f>
        <x:v>0</x:v>
      </x:c>
      <x:c r="U228" s="7" t="str">
        <x:v>Low-volume commercial long tail; retain only when real supply evidence is available.</x:v>
      </x:c>
    </x:row>
    <x:row r="229" ht="19" customHeight="1">
      <x:c r="A229" s="7" t="str">
        <x:v>hydraulic piston pump aftermarket</x:v>
      </x:c>
      <x:c r="B229" s="8" t="n">
        <x:v>0</x:v>
      </x:c>
      <x:c r="C229" s="9" t="n">
        <x:v>0</x:v>
      </x:c>
      <x:c r="D229" s="10" t="n">
        <x:v>0</x:v>
      </x:c>
      <x:c r="E229" s="8" t="n">
        <x:v>0</x:v>
      </x:c>
      <x:c r="F229" s="11" t="n">
        <x:v>0</x:v>
      </x:c>
      <x:c r="G229" s="7" t="str">
        <x:v>Commercial</x:v>
      </x:c>
      <x:c r="H229" s="7" t="str">
        <x:v>Replacement &amp; Cross-reference</x:v>
      </x:c>
      <x:c r="I229" s="7" t="n">
        <x:v>5</x:v>
      </x:c>
      <x:c r="J229" s="7" t="str">
        <x:v>/products/hydraulic-pumps/axial-piston-pumps/</x:v>
      </x:c>
      <x:c r="K229" s="7" t="str">
        <x:v>Covered</x:v>
      </x:c>
      <x:c r="L229" s="7" t="str">
        <x:v>Optimize existing page</x:v>
      </x:c>
      <x:c r="M229" s="7" t="str">
        <x:v>Alternative / cross-reference</x:v>
      </x:c>
      <x:c r="N229" s="7" t="n">
        <x:v>5</x:v>
      </x:c>
      <x:c r="O229" s="7" t="n">
        <x:f>IF(B229&gt;=1000,5,IF(B229&gt;=300,4,IF(B229&gt;=100,3,IF(B229&gt;=30,2,IF(B229&gt;=10,1,0)))))</x:f>
        <x:v>0</x:v>
      </x:c>
      <x:c r="P229" s="7" t="n">
        <x:f>IF(C229&gt;=5,4,IF(C229&gt;=2,3,IF(C229&gt;=1,2,IF(C229&gt;0,1,0))))</x:f>
        <x:v>0</x:v>
      </x:c>
      <x:c r="Q229" s="7" t="n">
        <x:f>N229*2+O229+P229+IF(F229&gt;=0.2,1,0)+IF(K229="Gap",2,0)-IF(I229&lt;=2,5,0)</x:f>
        <x:v>10</x:v>
      </x:c>
      <x:c r="R229" s="7" t="str">
        <x:f>IF(I229&lt;=2,"D",IF(Q229&gt;=15,"A",IF(Q229&gt;=11,"B",IF(Q229&gt;=7,"C","D"))))</x:f>
        <x:v>C</x:v>
      </x:c>
      <x:c r="S229" s="12" t="n">
        <x:f>B229*'Dashboard'!$B$11</x:f>
        <x:v>0</x:v>
      </x:c>
      <x:c r="T229" s="10" t="n">
        <x:f>S229*'Dashboard'!$D$11</x:f>
        <x:v>0</x:v>
      </x:c>
      <x:c r="U229" s="7" t="str">
        <x:v>Low-volume commercial long tail; retain only when real supply evidence is available.</x:v>
      </x:c>
    </x:row>
    <x:row r="230" ht="19" customHeight="1">
      <x:c r="A230" s="7" t="str">
        <x:v>hydraulic piston pump in stock</x:v>
      </x:c>
      <x:c r="B230" s="8" t="n">
        <x:v>0</x:v>
      </x:c>
      <x:c r="C230" s="9" t="n">
        <x:v>0</x:v>
      </x:c>
      <x:c r="D230" s="10" t="n">
        <x:v>0</x:v>
      </x:c>
      <x:c r="E230" s="8" t="n">
        <x:v>0</x:v>
      </x:c>
      <x:c r="F230" s="11" t="n">
        <x:v>0</x:v>
      </x:c>
      <x:c r="G230" s="7" t="str">
        <x:v>Transactional</x:v>
      </x:c>
      <x:c r="H230" s="7" t="str">
        <x:v>Hydraulic Pumps</x:v>
      </x:c>
      <x:c r="I230" s="7" t="n">
        <x:v>5</x:v>
      </x:c>
      <x:c r="J230" s="7" t="str">
        <x:v>/products/hydraulic-pumps/axial-piston-pumps/</x:v>
      </x:c>
      <x:c r="K230" s="7" t="str">
        <x:v>Covered</x:v>
      </x:c>
      <x:c r="L230" s="7" t="str">
        <x:v>Optimize existing page</x:v>
      </x:c>
      <x:c r="M230" s="7" t="str">
        <x:v>Product / category</x:v>
      </x:c>
      <x:c r="N230" s="7" t="n">
        <x:v>5</x:v>
      </x:c>
      <x:c r="O230" s="7" t="n">
        <x:f>IF(B230&gt;=1000,5,IF(B230&gt;=300,4,IF(B230&gt;=100,3,IF(B230&gt;=30,2,IF(B230&gt;=10,1,0)))))</x:f>
        <x:v>0</x:v>
      </x:c>
      <x:c r="P230" s="7" t="n">
        <x:f>IF(C230&gt;=5,4,IF(C230&gt;=2,3,IF(C230&gt;=1,2,IF(C230&gt;0,1,0))))</x:f>
        <x:v>0</x:v>
      </x:c>
      <x:c r="Q230" s="7" t="n">
        <x:f>N230*2+O230+P230+IF(F230&gt;=0.2,1,0)+IF(K230="Gap",2,0)-IF(I230&lt;=2,5,0)</x:f>
        <x:v>10</x:v>
      </x:c>
      <x:c r="R230" s="7" t="str">
        <x:f>IF(I230&lt;=2,"D",IF(Q230&gt;=15,"A",IF(Q230&gt;=11,"B",IF(Q230&gt;=7,"C","D"))))</x:f>
        <x:v>C</x:v>
      </x:c>
      <x:c r="S230" s="12" t="n">
        <x:f>B230*'Dashboard'!$B$11</x:f>
        <x:v>0</x:v>
      </x:c>
      <x:c r="T230" s="10" t="n">
        <x:f>S230*'Dashboard'!$D$11</x:f>
        <x:v>0</x:v>
      </x:c>
      <x:c r="U230" s="7" t="str">
        <x:v>Low-volume commercial long tail; retain only when real supply evidence is available.</x:v>
      </x:c>
    </x:row>
    <x:row r="231" ht="19" customHeight="1">
      <x:c r="A231" s="7" t="str">
        <x:v>hydraulic piston pump replacement</x:v>
      </x:c>
      <x:c r="B231" s="8" t="n">
        <x:v>0</x:v>
      </x:c>
      <x:c r="C231" s="9" t="n">
        <x:v>0</x:v>
      </x:c>
      <x:c r="D231" s="10" t="n">
        <x:v>0</x:v>
      </x:c>
      <x:c r="E231" s="8" t="n">
        <x:v>0</x:v>
      </x:c>
      <x:c r="F231" s="11" t="n">
        <x:v>0</x:v>
      </x:c>
      <x:c r="G231" s="7" t="str">
        <x:v>Commercial</x:v>
      </x:c>
      <x:c r="H231" s="7" t="str">
        <x:v>Replacement &amp; Cross-reference</x:v>
      </x:c>
      <x:c r="I231" s="7" t="n">
        <x:v>5</x:v>
      </x:c>
      <x:c r="J231" s="7" t="str">
        <x:v>/products/hydraulic-pumps/axial-piston-pumps/</x:v>
      </x:c>
      <x:c r="K231" s="7" t="str">
        <x:v>Covered</x:v>
      </x:c>
      <x:c r="L231" s="7" t="str">
        <x:v>Optimize existing page</x:v>
      </x:c>
      <x:c r="M231" s="7" t="str">
        <x:v>Alternative / cross-reference</x:v>
      </x:c>
      <x:c r="N231" s="7" t="n">
        <x:v>5</x:v>
      </x:c>
      <x:c r="O231" s="7" t="n">
        <x:f>IF(B231&gt;=1000,5,IF(B231&gt;=300,4,IF(B231&gt;=100,3,IF(B231&gt;=30,2,IF(B231&gt;=10,1,0)))))</x:f>
        <x:v>0</x:v>
      </x:c>
      <x:c r="P231" s="7" t="n">
        <x:f>IF(C231&gt;=5,4,IF(C231&gt;=2,3,IF(C231&gt;=1,2,IF(C231&gt;0,1,0))))</x:f>
        <x:v>0</x:v>
      </x:c>
      <x:c r="Q231" s="7" t="n">
        <x:f>N231*2+O231+P231+IF(F231&gt;=0.2,1,0)+IF(K231="Gap",2,0)-IF(I231&lt;=2,5,0)</x:f>
        <x:v>10</x:v>
      </x:c>
      <x:c r="R231" s="7" t="str">
        <x:f>IF(I231&lt;=2,"D",IF(Q231&gt;=15,"A",IF(Q231&gt;=11,"B",IF(Q231&gt;=7,"C","D"))))</x:f>
        <x:v>C</x:v>
      </x:c>
      <x:c r="S231" s="12" t="n">
        <x:f>B231*'Dashboard'!$B$11</x:f>
        <x:v>0</x:v>
      </x:c>
      <x:c r="T231" s="10" t="n">
        <x:f>S231*'Dashboard'!$D$11</x:f>
        <x:v>0</x:v>
      </x:c>
      <x:c r="U231" s="7" t="str">
        <x:v>Low-volume commercial long tail; retain only when real supply evidence is available.</x:v>
      </x:c>
    </x:row>
    <x:row r="232" ht="19" customHeight="1">
      <x:c r="A232" s="7" t="str">
        <x:v>hydraulic pump aftermarket</x:v>
      </x:c>
      <x:c r="B232" s="8" t="n">
        <x:v>0</x:v>
      </x:c>
      <x:c r="C232" s="9" t="n">
        <x:v>0</x:v>
      </x:c>
      <x:c r="D232" s="10" t="n">
        <x:v>0</x:v>
      </x:c>
      <x:c r="E232" s="8" t="n">
        <x:v>0</x:v>
      </x:c>
      <x:c r="F232" s="11" t="n">
        <x:v>0</x:v>
      </x:c>
      <x:c r="G232" s="7" t="str">
        <x:v>Commercial</x:v>
      </x:c>
      <x:c r="H232" s="7" t="str">
        <x:v>Replacement &amp; Cross-reference</x:v>
      </x:c>
      <x:c r="I232" s="7" t="n">
        <x:v>5</x:v>
      </x:c>
      <x:c r="J232" s="7" t="str">
        <x:v>/products/hydraulic-pumps/</x:v>
      </x:c>
      <x:c r="K232" s="7" t="str">
        <x:v>Covered</x:v>
      </x:c>
      <x:c r="L232" s="7" t="str">
        <x:v>Optimize existing page</x:v>
      </x:c>
      <x:c r="M232" s="7" t="str">
        <x:v>Alternative / cross-reference</x:v>
      </x:c>
      <x:c r="N232" s="7" t="n">
        <x:v>5</x:v>
      </x:c>
      <x:c r="O232" s="7" t="n">
        <x:f>IF(B232&gt;=1000,5,IF(B232&gt;=300,4,IF(B232&gt;=100,3,IF(B232&gt;=30,2,IF(B232&gt;=10,1,0)))))</x:f>
        <x:v>0</x:v>
      </x:c>
      <x:c r="P232" s="7" t="n">
        <x:f>IF(C232&gt;=5,4,IF(C232&gt;=2,3,IF(C232&gt;=1,2,IF(C232&gt;0,1,0))))</x:f>
        <x:v>0</x:v>
      </x:c>
      <x:c r="Q232" s="7" t="n">
        <x:f>N232*2+O232+P232+IF(F232&gt;=0.2,1,0)+IF(K232="Gap",2,0)-IF(I232&lt;=2,5,0)</x:f>
        <x:v>10</x:v>
      </x:c>
      <x:c r="R232" s="7" t="str">
        <x:f>IF(I232&lt;=2,"D",IF(Q232&gt;=15,"A",IF(Q232&gt;=11,"B",IF(Q232&gt;=7,"C","D"))))</x:f>
        <x:v>C</x:v>
      </x:c>
      <x:c r="S232" s="12" t="n">
        <x:f>B232*'Dashboard'!$B$11</x:f>
        <x:v>0</x:v>
      </x:c>
      <x:c r="T232" s="10" t="n">
        <x:f>S232*'Dashboard'!$D$11</x:f>
        <x:v>0</x:v>
      </x:c>
      <x:c r="U232" s="7" t="str">
        <x:v>Low-volume commercial long tail; retain only when real supply evidence is available.</x:v>
      </x:c>
    </x:row>
    <x:row r="233" ht="19" customHeight="1">
      <x:c r="A233" s="7" t="str">
        <x:v>hydraulic pump equivalent</x:v>
      </x:c>
      <x:c r="B233" s="8" t="n">
        <x:v>0</x:v>
      </x:c>
      <x:c r="C233" s="9" t="n">
        <x:v>0</x:v>
      </x:c>
      <x:c r="D233" s="10" t="n">
        <x:v>0</x:v>
      </x:c>
      <x:c r="E233" s="8" t="n">
        <x:v>0</x:v>
      </x:c>
      <x:c r="F233" s="11" t="n">
        <x:v>0</x:v>
      </x:c>
      <x:c r="G233" s="7" t="str">
        <x:v>Commercial</x:v>
      </x:c>
      <x:c r="H233" s="7" t="str">
        <x:v>Replacement &amp; Cross-reference</x:v>
      </x:c>
      <x:c r="I233" s="7" t="n">
        <x:v>5</x:v>
      </x:c>
      <x:c r="J233" s="7" t="str">
        <x:v>/products/hydraulic-pumps/</x:v>
      </x:c>
      <x:c r="K233" s="7" t="str">
        <x:v>Covered</x:v>
      </x:c>
      <x:c r="L233" s="7" t="str">
        <x:v>Optimize existing page</x:v>
      </x:c>
      <x:c r="M233" s="7" t="str">
        <x:v>Alternative / cross-reference</x:v>
      </x:c>
      <x:c r="N233" s="7" t="n">
        <x:v>5</x:v>
      </x:c>
      <x:c r="O233" s="7" t="n">
        <x:f>IF(B233&gt;=1000,5,IF(B233&gt;=300,4,IF(B233&gt;=100,3,IF(B233&gt;=30,2,IF(B233&gt;=10,1,0)))))</x:f>
        <x:v>0</x:v>
      </x:c>
      <x:c r="P233" s="7" t="n">
        <x:f>IF(C233&gt;=5,4,IF(C233&gt;=2,3,IF(C233&gt;=1,2,IF(C233&gt;0,1,0))))</x:f>
        <x:v>0</x:v>
      </x:c>
      <x:c r="Q233" s="7" t="n">
        <x:f>N233*2+O233+P233+IF(F233&gt;=0.2,1,0)+IF(K233="Gap",2,0)-IF(I233&lt;=2,5,0)</x:f>
        <x:v>10</x:v>
      </x:c>
      <x:c r="R233" s="7" t="str">
        <x:f>IF(I233&lt;=2,"D",IF(Q233&gt;=15,"A",IF(Q233&gt;=11,"B",IF(Q233&gt;=7,"C","D"))))</x:f>
        <x:v>C</x:v>
      </x:c>
      <x:c r="S233" s="12" t="n">
        <x:f>B233*'Dashboard'!$B$11</x:f>
        <x:v>0</x:v>
      </x:c>
      <x:c r="T233" s="10" t="n">
        <x:f>S233*'Dashboard'!$D$11</x:f>
        <x:v>0</x:v>
      </x:c>
      <x:c r="U233" s="7" t="str">
        <x:v>Low-volume commercial long tail; retain only when real supply evidence is available.</x:v>
      </x:c>
    </x:row>
    <x:row r="234" ht="19" customHeight="1">
      <x:c r="A234" s="7" t="str">
        <x:v>hydraulic pump in stock</x:v>
      </x:c>
      <x:c r="B234" s="8" t="n">
        <x:v>0</x:v>
      </x:c>
      <x:c r="C234" s="9" t="n">
        <x:v>0</x:v>
      </x:c>
      <x:c r="D234" s="10" t="n">
        <x:v>0</x:v>
      </x:c>
      <x:c r="E234" s="8" t="n">
        <x:v>0</x:v>
      </x:c>
      <x:c r="F234" s="11" t="n">
        <x:v>0</x:v>
      </x:c>
      <x:c r="G234" s="7" t="str">
        <x:v>Transactional</x:v>
      </x:c>
      <x:c r="H234" s="7" t="str">
        <x:v>Hydraulic Pumps</x:v>
      </x:c>
      <x:c r="I234" s="7" t="n">
        <x:v>5</x:v>
      </x:c>
      <x:c r="J234" s="7" t="str">
        <x:v>/products/hydraulic-pumps/</x:v>
      </x:c>
      <x:c r="K234" s="7" t="str">
        <x:v>Covered</x:v>
      </x:c>
      <x:c r="L234" s="7" t="str">
        <x:v>Optimize existing page</x:v>
      </x:c>
      <x:c r="M234" s="7" t="str">
        <x:v>Product / category</x:v>
      </x:c>
      <x:c r="N234" s="7" t="n">
        <x:v>5</x:v>
      </x:c>
      <x:c r="O234" s="7" t="n">
        <x:f>IF(B234&gt;=1000,5,IF(B234&gt;=300,4,IF(B234&gt;=100,3,IF(B234&gt;=30,2,IF(B234&gt;=10,1,0)))))</x:f>
        <x:v>0</x:v>
      </x:c>
      <x:c r="P234" s="7" t="n">
        <x:f>IF(C234&gt;=5,4,IF(C234&gt;=2,3,IF(C234&gt;=1,2,IF(C234&gt;0,1,0))))</x:f>
        <x:v>0</x:v>
      </x:c>
      <x:c r="Q234" s="7" t="n">
        <x:f>N234*2+O234+P234+IF(F234&gt;=0.2,1,0)+IF(K234="Gap",2,0)-IF(I234&lt;=2,5,0)</x:f>
        <x:v>10</x:v>
      </x:c>
      <x:c r="R234" s="7" t="str">
        <x:f>IF(I234&lt;=2,"D",IF(Q234&gt;=15,"A",IF(Q234&gt;=11,"B",IF(Q234&gt;=7,"C","D"))))</x:f>
        <x:v>C</x:v>
      </x:c>
      <x:c r="S234" s="12" t="n">
        <x:f>B234*'Dashboard'!$B$11</x:f>
        <x:v>0</x:v>
      </x:c>
      <x:c r="T234" s="10" t="n">
        <x:f>S234*'Dashboard'!$D$11</x:f>
        <x:v>0</x:v>
      </x:c>
      <x:c r="U234" s="7" t="str">
        <x:v>Low-volume commercial long tail; retain only when real supply evidence is available.</x:v>
      </x:c>
    </x:row>
    <x:row r="235" ht="19" customHeight="1">
      <x:c r="A235" s="7" t="str">
        <x:v>hydraulic pump parts aftermarket</x:v>
      </x:c>
      <x:c r="B235" s="8" t="n">
        <x:v>0</x:v>
      </x:c>
      <x:c r="C235" s="9" t="n">
        <x:v>0</x:v>
      </x:c>
      <x:c r="D235" s="10" t="n">
        <x:v>0</x:v>
      </x:c>
      <x:c r="E235" s="8" t="n">
        <x:v>0</x:v>
      </x:c>
      <x:c r="F235" s="11" t="n">
        <x:v>0</x:v>
      </x:c>
      <x:c r="G235" s="7" t="str">
        <x:v>Commercial</x:v>
      </x:c>
      <x:c r="H235" s="7" t="str">
        <x:v>Replacement &amp; Cross-reference</x:v>
      </x:c>
      <x:c r="I235" s="7" t="n">
        <x:v>5</x:v>
      </x:c>
      <x:c r="J235" s="7" t="str">
        <x:v>/products/hydraulic-pumps/</x:v>
      </x:c>
      <x:c r="K235" s="7" t="str">
        <x:v>Covered</x:v>
      </x:c>
      <x:c r="L235" s="7" t="str">
        <x:v>Optimize existing page</x:v>
      </x:c>
      <x:c r="M235" s="7" t="str">
        <x:v>Alternative / cross-reference</x:v>
      </x:c>
      <x:c r="N235" s="7" t="n">
        <x:v>5</x:v>
      </x:c>
      <x:c r="O235" s="7" t="n">
        <x:f>IF(B235&gt;=1000,5,IF(B235&gt;=300,4,IF(B235&gt;=100,3,IF(B235&gt;=30,2,IF(B235&gt;=10,1,0)))))</x:f>
        <x:v>0</x:v>
      </x:c>
      <x:c r="P235" s="7" t="n">
        <x:f>IF(C235&gt;=5,4,IF(C235&gt;=2,3,IF(C235&gt;=1,2,IF(C235&gt;0,1,0))))</x:f>
        <x:v>0</x:v>
      </x:c>
      <x:c r="Q235" s="7" t="n">
        <x:f>N235*2+O235+P235+IF(F235&gt;=0.2,1,0)+IF(K235="Gap",2,0)-IF(I235&lt;=2,5,0)</x:f>
        <x:v>10</x:v>
      </x:c>
      <x:c r="R235" s="7" t="str">
        <x:f>IF(I235&lt;=2,"D",IF(Q235&gt;=15,"A",IF(Q235&gt;=11,"B",IF(Q235&gt;=7,"C","D"))))</x:f>
        <x:v>C</x:v>
      </x:c>
      <x:c r="S235" s="12" t="n">
        <x:f>B235*'Dashboard'!$B$11</x:f>
        <x:v>0</x:v>
      </x:c>
      <x:c r="T235" s="10" t="n">
        <x:f>S235*'Dashboard'!$D$11</x:f>
        <x:v>0</x:v>
      </x:c>
      <x:c r="U235" s="7" t="str">
        <x:v>Low-volume commercial long tail; retain only when real supply evidence is available.</x:v>
      </x:c>
    </x:row>
    <x:row r="236" ht="19" customHeight="1">
      <x:c r="A236" s="7" t="str">
        <x:v>hydraulic pump parts in stock</x:v>
      </x:c>
      <x:c r="B236" s="8" t="n">
        <x:v>0</x:v>
      </x:c>
      <x:c r="C236" s="9" t="n">
        <x:v>0</x:v>
      </x:c>
      <x:c r="D236" s="10" t="n">
        <x:v>0</x:v>
      </x:c>
      <x:c r="E236" s="8" t="n">
        <x:v>0</x:v>
      </x:c>
      <x:c r="F236" s="11" t="n">
        <x:v>0</x:v>
      </x:c>
      <x:c r="G236" s="7" t="str">
        <x:v>Transactional</x:v>
      </x:c>
      <x:c r="H236" s="7" t="str">
        <x:v>Hydraulic Pumps</x:v>
      </x:c>
      <x:c r="I236" s="7" t="n">
        <x:v>5</x:v>
      </x:c>
      <x:c r="J236" s="7" t="str">
        <x:v>/products/hydraulic-pumps/</x:v>
      </x:c>
      <x:c r="K236" s="7" t="str">
        <x:v>Covered</x:v>
      </x:c>
      <x:c r="L236" s="7" t="str">
        <x:v>Optimize existing page</x:v>
      </x:c>
      <x:c r="M236" s="7" t="str">
        <x:v>Product / category</x:v>
      </x:c>
      <x:c r="N236" s="7" t="n">
        <x:v>5</x:v>
      </x:c>
      <x:c r="O236" s="7" t="n">
        <x:f>IF(B236&gt;=1000,5,IF(B236&gt;=300,4,IF(B236&gt;=100,3,IF(B236&gt;=30,2,IF(B236&gt;=10,1,0)))))</x:f>
        <x:v>0</x:v>
      </x:c>
      <x:c r="P236" s="7" t="n">
        <x:f>IF(C236&gt;=5,4,IF(C236&gt;=2,3,IF(C236&gt;=1,2,IF(C236&gt;0,1,0))))</x:f>
        <x:v>0</x:v>
      </x:c>
      <x:c r="Q236" s="7" t="n">
        <x:f>N236*2+O236+P236+IF(F236&gt;=0.2,1,0)+IF(K236="Gap",2,0)-IF(I236&lt;=2,5,0)</x:f>
        <x:v>10</x:v>
      </x:c>
      <x:c r="R236" s="7" t="str">
        <x:f>IF(I236&lt;=2,"D",IF(Q236&gt;=15,"A",IF(Q236&gt;=11,"B",IF(Q236&gt;=7,"C","D"))))</x:f>
        <x:v>C</x:v>
      </x:c>
      <x:c r="S236" s="12" t="n">
        <x:f>B236*'Dashboard'!$B$11</x:f>
        <x:v>0</x:v>
      </x:c>
      <x:c r="T236" s="10" t="n">
        <x:f>S236*'Dashboard'!$D$11</x:f>
        <x:v>0</x:v>
      </x:c>
      <x:c r="U236" s="7" t="str">
        <x:v>Low-volume commercial long tail; retain only when real supply evidence is available.</x:v>
      </x:c>
    </x:row>
    <x:row r="237" ht="19" customHeight="1">
      <x:c r="A237" s="7" t="str">
        <x:v>hydraulic pump parts replacement</x:v>
      </x:c>
      <x:c r="B237" s="8" t="n">
        <x:v>0</x:v>
      </x:c>
      <x:c r="C237" s="9" t="n">
        <x:v>0</x:v>
      </x:c>
      <x:c r="D237" s="10" t="n">
        <x:v>0</x:v>
      </x:c>
      <x:c r="E237" s="8" t="n">
        <x:v>0</x:v>
      </x:c>
      <x:c r="F237" s="11" t="n">
        <x:v>0</x:v>
      </x:c>
      <x:c r="G237" s="7" t="str">
        <x:v>Commercial</x:v>
      </x:c>
      <x:c r="H237" s="7" t="str">
        <x:v>Replacement &amp; Cross-reference</x:v>
      </x:c>
      <x:c r="I237" s="7" t="n">
        <x:v>5</x:v>
      </x:c>
      <x:c r="J237" s="7" t="str">
        <x:v>/products/hydraulic-pumps/</x:v>
      </x:c>
      <x:c r="K237" s="7" t="str">
        <x:v>Covered</x:v>
      </x:c>
      <x:c r="L237" s="7" t="str">
        <x:v>Optimize existing page</x:v>
      </x:c>
      <x:c r="M237" s="7" t="str">
        <x:v>Alternative / cross-reference</x:v>
      </x:c>
      <x:c r="N237" s="7" t="n">
        <x:v>5</x:v>
      </x:c>
      <x:c r="O237" s="7" t="n">
        <x:f>IF(B237&gt;=1000,5,IF(B237&gt;=300,4,IF(B237&gt;=100,3,IF(B237&gt;=30,2,IF(B237&gt;=10,1,0)))))</x:f>
        <x:v>0</x:v>
      </x:c>
      <x:c r="P237" s="7" t="n">
        <x:f>IF(C237&gt;=5,4,IF(C237&gt;=2,3,IF(C237&gt;=1,2,IF(C237&gt;0,1,0))))</x:f>
        <x:v>0</x:v>
      </x:c>
      <x:c r="Q237" s="7" t="n">
        <x:f>N237*2+O237+P237+IF(F237&gt;=0.2,1,0)+IF(K237="Gap",2,0)-IF(I237&lt;=2,5,0)</x:f>
        <x:v>10</x:v>
      </x:c>
      <x:c r="R237" s="7" t="str">
        <x:f>IF(I237&lt;=2,"D",IF(Q237&gt;=15,"A",IF(Q237&gt;=11,"B",IF(Q237&gt;=7,"C","D"))))</x:f>
        <x:v>C</x:v>
      </x:c>
      <x:c r="S237" s="12" t="n">
        <x:f>B237*'Dashboard'!$B$11</x:f>
        <x:v>0</x:v>
      </x:c>
      <x:c r="T237" s="10" t="n">
        <x:f>S237*'Dashboard'!$D$11</x:f>
        <x:v>0</x:v>
      </x:c>
      <x:c r="U237" s="7" t="str">
        <x:v>Low-volume commercial long tail; retain only when real supply evidence is available.</x:v>
      </x:c>
    </x:row>
    <x:row r="238" ht="19" customHeight="1">
      <x:c r="A238" s="7" t="str">
        <x:v>hydraulic pump quote</x:v>
      </x:c>
      <x:c r="B238" s="8" t="n">
        <x:v>0</x:v>
      </x:c>
      <x:c r="C238" s="9" t="n">
        <x:v>0</x:v>
      </x:c>
      <x:c r="D238" s="10" t="n">
        <x:v>0</x:v>
      </x:c>
      <x:c r="E238" s="8" t="n">
        <x:v>0</x:v>
      </x:c>
      <x:c r="F238" s="11" t="n">
        <x:v>0</x:v>
      </x:c>
      <x:c r="G238" s="7" t="str">
        <x:v>Transactional</x:v>
      </x:c>
      <x:c r="H238" s="7" t="str">
        <x:v>Hydraulic Pumps</x:v>
      </x:c>
      <x:c r="I238" s="7" t="n">
        <x:v>5</x:v>
      </x:c>
      <x:c r="J238" s="7" t="str">
        <x:v>/products/hydraulic-pumps/</x:v>
      </x:c>
      <x:c r="K238" s="7" t="str">
        <x:v>Covered</x:v>
      </x:c>
      <x:c r="L238" s="7" t="str">
        <x:v>Optimize existing page</x:v>
      </x:c>
      <x:c r="M238" s="7" t="str">
        <x:v>Product / category</x:v>
      </x:c>
      <x:c r="N238" s="7" t="n">
        <x:v>5</x:v>
      </x:c>
      <x:c r="O238" s="7" t="n">
        <x:f>IF(B238&gt;=1000,5,IF(B238&gt;=300,4,IF(B238&gt;=100,3,IF(B238&gt;=30,2,IF(B238&gt;=10,1,0)))))</x:f>
        <x:v>0</x:v>
      </x:c>
      <x:c r="P238" s="7" t="n">
        <x:f>IF(C238&gt;=5,4,IF(C238&gt;=2,3,IF(C238&gt;=1,2,IF(C238&gt;0,1,0))))</x:f>
        <x:v>0</x:v>
      </x:c>
      <x:c r="Q238" s="7" t="n">
        <x:f>N238*2+O238+P238+IF(F238&gt;=0.2,1,0)+IF(K238="Gap",2,0)-IF(I238&lt;=2,5,0)</x:f>
        <x:v>10</x:v>
      </x:c>
      <x:c r="R238" s="7" t="str">
        <x:f>IF(I238&lt;=2,"D",IF(Q238&gt;=15,"A",IF(Q238&gt;=11,"B",IF(Q238&gt;=7,"C","D"))))</x:f>
        <x:v>C</x:v>
      </x:c>
      <x:c r="S238" s="12" t="n">
        <x:f>B238*'Dashboard'!$B$11</x:f>
        <x:v>0</x:v>
      </x:c>
      <x:c r="T238" s="10" t="n">
        <x:f>S238*'Dashboard'!$D$11</x:f>
        <x:v>0</x:v>
      </x:c>
      <x:c r="U238" s="7" t="str">
        <x:v>Low-volume commercial long tail; retain only when real supply evidence is available.</x:v>
      </x:c>
    </x:row>
    <x:row r="239" ht="19" customHeight="1">
      <x:c r="A239" s="7" t="str">
        <x:v>hydraulic pump repair parts supplier</x:v>
      </x:c>
      <x:c r="B239" s="8" t="n">
        <x:v>0</x:v>
      </x:c>
      <x:c r="C239" s="9" t="n">
        <x:v>0</x:v>
      </x:c>
      <x:c r="D239" s="10" t="n">
        <x:v>0</x:v>
      </x:c>
      <x:c r="E239" s="8" t="n">
        <x:v>0</x:v>
      </x:c>
      <x:c r="F239" s="11" t="n">
        <x:v>0</x:v>
      </x:c>
      <x:c r="G239" s="7" t="str">
        <x:v>Transactional</x:v>
      </x:c>
      <x:c r="H239" s="7" t="str">
        <x:v>Repair Kits &amp; Service Parts</x:v>
      </x:c>
      <x:c r="I239" s="7" t="n">
        <x:v>5</x:v>
      </x:c>
      <x:c r="J239" s="7" t="str">
        <x:v>/products/hydraulic-repair-kits/</x:v>
      </x:c>
      <x:c r="K239" s="7" t="str">
        <x:v>Covered</x:v>
      </x:c>
      <x:c r="L239" s="7" t="str">
        <x:v>Optimize existing page</x:v>
      </x:c>
      <x:c r="M239" s="7" t="str">
        <x:v>Product / category</x:v>
      </x:c>
      <x:c r="N239" s="7" t="n">
        <x:v>5</x:v>
      </x:c>
      <x:c r="O239" s="7" t="n">
        <x:f>IF(B239&gt;=1000,5,IF(B239&gt;=300,4,IF(B239&gt;=100,3,IF(B239&gt;=30,2,IF(B239&gt;=10,1,0)))))</x:f>
        <x:v>0</x:v>
      </x:c>
      <x:c r="P239" s="7" t="n">
        <x:f>IF(C239&gt;=5,4,IF(C239&gt;=2,3,IF(C239&gt;=1,2,IF(C239&gt;0,1,0))))</x:f>
        <x:v>0</x:v>
      </x:c>
      <x:c r="Q239" s="7" t="n">
        <x:f>N239*2+O239+P239+IF(F239&gt;=0.2,1,0)+IF(K239="Gap",2,0)-IF(I239&lt;=2,5,0)</x:f>
        <x:v>10</x:v>
      </x:c>
      <x:c r="R239" s="7" t="str">
        <x:f>IF(I239&lt;=2,"D",IF(Q239&gt;=15,"A",IF(Q239&gt;=11,"B",IF(Q239&gt;=7,"C","D"))))</x:f>
        <x:v>C</x:v>
      </x:c>
      <x:c r="S239" s="12" t="n">
        <x:f>B239*'Dashboard'!$B$11</x:f>
        <x:v>0</x:v>
      </x:c>
      <x:c r="T239" s="10" t="n">
        <x:f>S239*'Dashboard'!$D$11</x:f>
        <x:v>0</x:v>
      </x:c>
      <x:c r="U239" s="7" t="str">
        <x:v>Low-volume commercial long tail; retain only when real supply evidence is available.</x:v>
      </x:c>
    </x:row>
    <x:row r="240" ht="19" customHeight="1">
      <x:c r="A240" s="7" t="str">
        <x:v>hydraulic pump seal kit supplier</x:v>
      </x:c>
      <x:c r="B240" s="8" t="n">
        <x:v>0</x:v>
      </x:c>
      <x:c r="C240" s="9" t="n">
        <x:v>0</x:v>
      </x:c>
      <x:c r="D240" s="10" t="n">
        <x:v>0</x:v>
      </x:c>
      <x:c r="E240" s="8" t="n">
        <x:v>0</x:v>
      </x:c>
      <x:c r="F240" s="11" t="n">
        <x:v>0</x:v>
      </x:c>
      <x:c r="G240" s="7" t="str">
        <x:v>Transactional</x:v>
      </x:c>
      <x:c r="H240" s="7" t="str">
        <x:v>Repair Kits &amp; Service Parts</x:v>
      </x:c>
      <x:c r="I240" s="7" t="n">
        <x:v>5</x:v>
      </x:c>
      <x:c r="J240" s="7" t="str">
        <x:v>/products/hydraulic-repair-kits/</x:v>
      </x:c>
      <x:c r="K240" s="7" t="str">
        <x:v>Covered</x:v>
      </x:c>
      <x:c r="L240" s="7" t="str">
        <x:v>Optimize existing page</x:v>
      </x:c>
      <x:c r="M240" s="7" t="str">
        <x:v>Product / category</x:v>
      </x:c>
      <x:c r="N240" s="7" t="n">
        <x:v>5</x:v>
      </x:c>
      <x:c r="O240" s="7" t="n">
        <x:f>IF(B240&gt;=1000,5,IF(B240&gt;=300,4,IF(B240&gt;=100,3,IF(B240&gt;=30,2,IF(B240&gt;=10,1,0)))))</x:f>
        <x:v>0</x:v>
      </x:c>
      <x:c r="P240" s="7" t="n">
        <x:f>IF(C240&gt;=5,4,IF(C240&gt;=2,3,IF(C240&gt;=1,2,IF(C240&gt;0,1,0))))</x:f>
        <x:v>0</x:v>
      </x:c>
      <x:c r="Q240" s="7" t="n">
        <x:f>N240*2+O240+P240+IF(F240&gt;=0.2,1,0)+IF(K240="Gap",2,0)-IF(I240&lt;=2,5,0)</x:f>
        <x:v>10</x:v>
      </x:c>
      <x:c r="R240" s="7" t="str">
        <x:f>IF(I240&lt;=2,"D",IF(Q240&gt;=15,"A",IF(Q240&gt;=11,"B",IF(Q240&gt;=7,"C","D"))))</x:f>
        <x:v>C</x:v>
      </x:c>
      <x:c r="S240" s="12" t="n">
        <x:f>B240*'Dashboard'!$B$11</x:f>
        <x:v>0</x:v>
      </x:c>
      <x:c r="T240" s="10" t="n">
        <x:f>S240*'Dashboard'!$D$11</x:f>
        <x:v>0</x:v>
      </x:c>
      <x:c r="U240" s="7" t="str">
        <x:v>Low-volume commercial long tail; retain only when real supply evidence is available.</x:v>
      </x:c>
    </x:row>
    <x:row r="241" ht="19" customHeight="1">
      <x:c r="A241" s="7" t="str">
        <x:v>hydraulic repair kit aftermarket</x:v>
      </x:c>
      <x:c r="B241" s="8" t="n">
        <x:v>0</x:v>
      </x:c>
      <x:c r="C241" s="9" t="n">
        <x:v>0</x:v>
      </x:c>
      <x:c r="D241" s="10" t="n">
        <x:v>0</x:v>
      </x:c>
      <x:c r="E241" s="8" t="n">
        <x:v>0</x:v>
      </x:c>
      <x:c r="F241" s="11" t="n">
        <x:v>0</x:v>
      </x:c>
      <x:c r="G241" s="7" t="str">
        <x:v>Commercial</x:v>
      </x:c>
      <x:c r="H241" s="7" t="str">
        <x:v>Repair Kits &amp; Service Parts</x:v>
      </x:c>
      <x:c r="I241" s="7" t="n">
        <x:v>5</x:v>
      </x:c>
      <x:c r="J241" s="7" t="str">
        <x:v>/products/hydraulic-repair-kits/</x:v>
      </x:c>
      <x:c r="K241" s="7" t="str">
        <x:v>Covered</x:v>
      </x:c>
      <x:c r="L241" s="7" t="str">
        <x:v>Optimize existing page</x:v>
      </x:c>
      <x:c r="M241" s="7" t="str">
        <x:v>Product / category</x:v>
      </x:c>
      <x:c r="N241" s="7" t="n">
        <x:v>5</x:v>
      </x:c>
      <x:c r="O241" s="7" t="n">
        <x:f>IF(B241&gt;=1000,5,IF(B241&gt;=300,4,IF(B241&gt;=100,3,IF(B241&gt;=30,2,IF(B241&gt;=10,1,0)))))</x:f>
        <x:v>0</x:v>
      </x:c>
      <x:c r="P241" s="7" t="n">
        <x:f>IF(C241&gt;=5,4,IF(C241&gt;=2,3,IF(C241&gt;=1,2,IF(C241&gt;0,1,0))))</x:f>
        <x:v>0</x:v>
      </x:c>
      <x:c r="Q241" s="7" t="n">
        <x:f>N241*2+O241+P241+IF(F241&gt;=0.2,1,0)+IF(K241="Gap",2,0)-IF(I241&lt;=2,5,0)</x:f>
        <x:v>10</x:v>
      </x:c>
      <x:c r="R241" s="7" t="str">
        <x:f>IF(I241&lt;=2,"D",IF(Q241&gt;=15,"A",IF(Q241&gt;=11,"B",IF(Q241&gt;=7,"C","D"))))</x:f>
        <x:v>C</x:v>
      </x:c>
      <x:c r="S241" s="12" t="n">
        <x:f>B241*'Dashboard'!$B$11</x:f>
        <x:v>0</x:v>
      </x:c>
      <x:c r="T241" s="10" t="n">
        <x:f>S241*'Dashboard'!$D$11</x:f>
        <x:v>0</x:v>
      </x:c>
      <x:c r="U241" s="7" t="str">
        <x:v>Low-volume commercial long tail; retain only when real supply evidence is available.</x:v>
      </x:c>
    </x:row>
    <x:row r="242" ht="19" customHeight="1">
      <x:c r="A242" s="7" t="str">
        <x:v>hydraulic repair kit in stock</x:v>
      </x:c>
      <x:c r="B242" s="8" t="n">
        <x:v>0</x:v>
      </x:c>
      <x:c r="C242" s="9" t="n">
        <x:v>0</x:v>
      </x:c>
      <x:c r="D242" s="10" t="n">
        <x:v>0</x:v>
      </x:c>
      <x:c r="E242" s="8" t="n">
        <x:v>0</x:v>
      </x:c>
      <x:c r="F242" s="11" t="n">
        <x:v>0</x:v>
      </x:c>
      <x:c r="G242" s="7" t="str">
        <x:v>Transactional</x:v>
      </x:c>
      <x:c r="H242" s="7" t="str">
        <x:v>Repair Kits &amp; Service Parts</x:v>
      </x:c>
      <x:c r="I242" s="7" t="n">
        <x:v>5</x:v>
      </x:c>
      <x:c r="J242" s="7" t="str">
        <x:v>/products/hydraulic-repair-kits/</x:v>
      </x:c>
      <x:c r="K242" s="7" t="str">
        <x:v>Covered</x:v>
      </x:c>
      <x:c r="L242" s="7" t="str">
        <x:v>Optimize existing page</x:v>
      </x:c>
      <x:c r="M242" s="7" t="str">
        <x:v>Product / category</x:v>
      </x:c>
      <x:c r="N242" s="7" t="n">
        <x:v>5</x:v>
      </x:c>
      <x:c r="O242" s="7" t="n">
        <x:f>IF(B242&gt;=1000,5,IF(B242&gt;=300,4,IF(B242&gt;=100,3,IF(B242&gt;=30,2,IF(B242&gt;=10,1,0)))))</x:f>
        <x:v>0</x:v>
      </x:c>
      <x:c r="P242" s="7" t="n">
        <x:f>IF(C242&gt;=5,4,IF(C242&gt;=2,3,IF(C242&gt;=1,2,IF(C242&gt;0,1,0))))</x:f>
        <x:v>0</x:v>
      </x:c>
      <x:c r="Q242" s="7" t="n">
        <x:f>N242*2+O242+P242+IF(F242&gt;=0.2,1,0)+IF(K242="Gap",2,0)-IF(I242&lt;=2,5,0)</x:f>
        <x:v>10</x:v>
      </x:c>
      <x:c r="R242" s="7" t="str">
        <x:f>IF(I242&lt;=2,"D",IF(Q242&gt;=15,"A",IF(Q242&gt;=11,"B",IF(Q242&gt;=7,"C","D"))))</x:f>
        <x:v>C</x:v>
      </x:c>
      <x:c r="S242" s="12" t="n">
        <x:f>B242*'Dashboard'!$B$11</x:f>
        <x:v>0</x:v>
      </x:c>
      <x:c r="T242" s="10" t="n">
        <x:f>S242*'Dashboard'!$D$11</x:f>
        <x:v>0</x:v>
      </x:c>
      <x:c r="U242" s="7" t="str">
        <x:v>Low-volume commercial long tail; retain only when real supply evidence is available.</x:v>
      </x:c>
    </x:row>
    <x:row r="243" ht="19" customHeight="1">
      <x:c r="A243" s="7" t="str">
        <x:v>hydraulic repair kit manufacturer</x:v>
      </x:c>
      <x:c r="B243" s="8" t="n">
        <x:v>0</x:v>
      </x:c>
      <x:c r="C243" s="9" t="n">
        <x:v>0</x:v>
      </x:c>
      <x:c r="D243" s="10" t="n">
        <x:v>0</x:v>
      </x:c>
      <x:c r="E243" s="8" t="n">
        <x:v>0</x:v>
      </x:c>
      <x:c r="F243" s="11" t="n">
        <x:v>0</x:v>
      </x:c>
      <x:c r="G243" s="7" t="str">
        <x:v>Transactional</x:v>
      </x:c>
      <x:c r="H243" s="7" t="str">
        <x:v>Repair Kits &amp; Service Parts</x:v>
      </x:c>
      <x:c r="I243" s="7" t="n">
        <x:v>5</x:v>
      </x:c>
      <x:c r="J243" s="7" t="str">
        <x:v>/products/hydraulic-repair-kits/</x:v>
      </x:c>
      <x:c r="K243" s="7" t="str">
        <x:v>Covered</x:v>
      </x:c>
      <x:c r="L243" s="7" t="str">
        <x:v>Optimize existing page</x:v>
      </x:c>
      <x:c r="M243" s="7" t="str">
        <x:v>Product / category</x:v>
      </x:c>
      <x:c r="N243" s="7" t="n">
        <x:v>5</x:v>
      </x:c>
      <x:c r="O243" s="7" t="n">
        <x:f>IF(B243&gt;=1000,5,IF(B243&gt;=300,4,IF(B243&gt;=100,3,IF(B243&gt;=30,2,IF(B243&gt;=10,1,0)))))</x:f>
        <x:v>0</x:v>
      </x:c>
      <x:c r="P243" s="7" t="n">
        <x:f>IF(C243&gt;=5,4,IF(C243&gt;=2,3,IF(C243&gt;=1,2,IF(C243&gt;0,1,0))))</x:f>
        <x:v>0</x:v>
      </x:c>
      <x:c r="Q243" s="7" t="n">
        <x:f>N243*2+O243+P243+IF(F243&gt;=0.2,1,0)+IF(K243="Gap",2,0)-IF(I243&lt;=2,5,0)</x:f>
        <x:v>10</x:v>
      </x:c>
      <x:c r="R243" s="7" t="str">
        <x:f>IF(I243&lt;=2,"D",IF(Q243&gt;=15,"A",IF(Q243&gt;=11,"B",IF(Q243&gt;=7,"C","D"))))</x:f>
        <x:v>C</x:v>
      </x:c>
      <x:c r="S243" s="12" t="n">
        <x:f>B243*'Dashboard'!$B$11</x:f>
        <x:v>0</x:v>
      </x:c>
      <x:c r="T243" s="10" t="n">
        <x:f>S243*'Dashboard'!$D$11</x:f>
        <x:v>0</x:v>
      </x:c>
      <x:c r="U243" s="7" t="str">
        <x:v>Low-volume commercial long tail; retain only when real supply evidence is available.</x:v>
      </x:c>
    </x:row>
    <x:row r="244" ht="19" customHeight="1">
      <x:c r="A244" s="7" t="str">
        <x:v>hydraulic repair kit replacement</x:v>
      </x:c>
      <x:c r="B244" s="8" t="n">
        <x:v>0</x:v>
      </x:c>
      <x:c r="C244" s="9" t="n">
        <x:v>0</x:v>
      </x:c>
      <x:c r="D244" s="10" t="n">
        <x:v>0</x:v>
      </x:c>
      <x:c r="E244" s="8" t="n">
        <x:v>0</x:v>
      </x:c>
      <x:c r="F244" s="11" t="n">
        <x:v>0</x:v>
      </x:c>
      <x:c r="G244" s="7" t="str">
        <x:v>Commercial</x:v>
      </x:c>
      <x:c r="H244" s="7" t="str">
        <x:v>Repair Kits &amp; Service Parts</x:v>
      </x:c>
      <x:c r="I244" s="7" t="n">
        <x:v>5</x:v>
      </x:c>
      <x:c r="J244" s="7" t="str">
        <x:v>/products/hydraulic-repair-kits/</x:v>
      </x:c>
      <x:c r="K244" s="7" t="str">
        <x:v>Covered</x:v>
      </x:c>
      <x:c r="L244" s="7" t="str">
        <x:v>Optimize existing page</x:v>
      </x:c>
      <x:c r="M244" s="7" t="str">
        <x:v>Product / category</x:v>
      </x:c>
      <x:c r="N244" s="7" t="n">
        <x:v>5</x:v>
      </x:c>
      <x:c r="O244" s="7" t="n">
        <x:f>IF(B244&gt;=1000,5,IF(B244&gt;=300,4,IF(B244&gt;=100,3,IF(B244&gt;=30,2,IF(B244&gt;=10,1,0)))))</x:f>
        <x:v>0</x:v>
      </x:c>
      <x:c r="P244" s="7" t="n">
        <x:f>IF(C244&gt;=5,4,IF(C244&gt;=2,3,IF(C244&gt;=1,2,IF(C244&gt;0,1,0))))</x:f>
        <x:v>0</x:v>
      </x:c>
      <x:c r="Q244" s="7" t="n">
        <x:f>N244*2+O244+P244+IF(F244&gt;=0.2,1,0)+IF(K244="Gap",2,0)-IF(I244&lt;=2,5,0)</x:f>
        <x:v>10</x:v>
      </x:c>
      <x:c r="R244" s="7" t="str">
        <x:f>IF(I244&lt;=2,"D",IF(Q244&gt;=15,"A",IF(Q244&gt;=11,"B",IF(Q244&gt;=7,"C","D"))))</x:f>
        <x:v>C</x:v>
      </x:c>
      <x:c r="S244" s="12" t="n">
        <x:f>B244*'Dashboard'!$B$11</x:f>
        <x:v>0</x:v>
      </x:c>
      <x:c r="T244" s="10" t="n">
        <x:f>S244*'Dashboard'!$D$11</x:f>
        <x:v>0</x:v>
      </x:c>
      <x:c r="U244" s="7" t="str">
        <x:v>Low-volume commercial long tail; retain only when real supply evidence is available.</x:v>
      </x:c>
    </x:row>
    <x:row r="245" ht="19" customHeight="1">
      <x:c r="A245" s="7" t="str">
        <x:v>hydraulic repair kit supplier</x:v>
      </x:c>
      <x:c r="B245" s="8" t="n">
        <x:v>0</x:v>
      </x:c>
      <x:c r="C245" s="9" t="n">
        <x:v>0</x:v>
      </x:c>
      <x:c r="D245" s="10" t="n">
        <x:v>0</x:v>
      </x:c>
      <x:c r="E245" s="8" t="n">
        <x:v>0</x:v>
      </x:c>
      <x:c r="F245" s="11" t="n">
        <x:v>0</x:v>
      </x:c>
      <x:c r="G245" s="7" t="str">
        <x:v>Transactional</x:v>
      </x:c>
      <x:c r="H245" s="7" t="str">
        <x:v>Repair Kits &amp; Service Parts</x:v>
      </x:c>
      <x:c r="I245" s="7" t="n">
        <x:v>5</x:v>
      </x:c>
      <x:c r="J245" s="7" t="str">
        <x:v>/products/hydraulic-repair-kits/</x:v>
      </x:c>
      <x:c r="K245" s="7" t="str">
        <x:v>Covered</x:v>
      </x:c>
      <x:c r="L245" s="7" t="str">
        <x:v>Optimize existing page</x:v>
      </x:c>
      <x:c r="M245" s="7" t="str">
        <x:v>Product / category</x:v>
      </x:c>
      <x:c r="N245" s="7" t="n">
        <x:v>5</x:v>
      </x:c>
      <x:c r="O245" s="7" t="n">
        <x:f>IF(B245&gt;=1000,5,IF(B245&gt;=300,4,IF(B245&gt;=100,3,IF(B245&gt;=30,2,IF(B245&gt;=10,1,0)))))</x:f>
        <x:v>0</x:v>
      </x:c>
      <x:c r="P245" s="7" t="n">
        <x:f>IF(C245&gt;=5,4,IF(C245&gt;=2,3,IF(C245&gt;=1,2,IF(C245&gt;0,1,0))))</x:f>
        <x:v>0</x:v>
      </x:c>
      <x:c r="Q245" s="7" t="n">
        <x:f>N245*2+O245+P245+IF(F245&gt;=0.2,1,0)+IF(K245="Gap",2,0)-IF(I245&lt;=2,5,0)</x:f>
        <x:v>10</x:v>
      </x:c>
      <x:c r="R245" s="7" t="str">
        <x:f>IF(I245&lt;=2,"D",IF(Q245&gt;=15,"A",IF(Q245&gt;=11,"B",IF(Q245&gt;=7,"C","D"))))</x:f>
        <x:v>C</x:v>
      </x:c>
      <x:c r="S245" s="12" t="n">
        <x:f>B245*'Dashboard'!$B$11</x:f>
        <x:v>0</x:v>
      </x:c>
      <x:c r="T245" s="10" t="n">
        <x:f>S245*'Dashboard'!$D$11</x:f>
        <x:v>0</x:v>
      </x:c>
      <x:c r="U245" s="7" t="str">
        <x:v>Low-volume commercial long tail; retain only when real supply evidence is available.</x:v>
      </x:c>
    </x:row>
    <x:row r="246" ht="19" customHeight="1">
      <x:c r="A246" s="7" t="str">
        <x:v>hydraulic seal kit aftermarket</x:v>
      </x:c>
      <x:c r="B246" s="8" t="n">
        <x:v>0</x:v>
      </x:c>
      <x:c r="C246" s="9" t="n">
        <x:v>0</x:v>
      </x:c>
      <x:c r="D246" s="10" t="n">
        <x:v>0</x:v>
      </x:c>
      <x:c r="E246" s="8" t="n">
        <x:v>0</x:v>
      </x:c>
      <x:c r="F246" s="11" t="n">
        <x:v>0</x:v>
      </x:c>
      <x:c r="G246" s="7" t="str">
        <x:v>Commercial</x:v>
      </x:c>
      <x:c r="H246" s="7" t="str">
        <x:v>Repair Kits &amp; Service Parts</x:v>
      </x:c>
      <x:c r="I246" s="7" t="n">
        <x:v>5</x:v>
      </x:c>
      <x:c r="J246" s="7" t="str">
        <x:v>/products/hydraulic-repair-kits/</x:v>
      </x:c>
      <x:c r="K246" s="7" t="str">
        <x:v>Covered</x:v>
      </x:c>
      <x:c r="L246" s="7" t="str">
        <x:v>Optimize existing page</x:v>
      </x:c>
      <x:c r="M246" s="7" t="str">
        <x:v>Product / category</x:v>
      </x:c>
      <x:c r="N246" s="7" t="n">
        <x:v>5</x:v>
      </x:c>
      <x:c r="O246" s="7" t="n">
        <x:f>IF(B246&gt;=1000,5,IF(B246&gt;=300,4,IF(B246&gt;=100,3,IF(B246&gt;=30,2,IF(B246&gt;=10,1,0)))))</x:f>
        <x:v>0</x:v>
      </x:c>
      <x:c r="P246" s="7" t="n">
        <x:f>IF(C246&gt;=5,4,IF(C246&gt;=2,3,IF(C246&gt;=1,2,IF(C246&gt;0,1,0))))</x:f>
        <x:v>0</x:v>
      </x:c>
      <x:c r="Q246" s="7" t="n">
        <x:f>N246*2+O246+P246+IF(F246&gt;=0.2,1,0)+IF(K246="Gap",2,0)-IF(I246&lt;=2,5,0)</x:f>
        <x:v>10</x:v>
      </x:c>
      <x:c r="R246" s="7" t="str">
        <x:f>IF(I246&lt;=2,"D",IF(Q246&gt;=15,"A",IF(Q246&gt;=11,"B",IF(Q246&gt;=7,"C","D"))))</x:f>
        <x:v>C</x:v>
      </x:c>
      <x:c r="S246" s="12" t="n">
        <x:f>B246*'Dashboard'!$B$11</x:f>
        <x:v>0</x:v>
      </x:c>
      <x:c r="T246" s="10" t="n">
        <x:f>S246*'Dashboard'!$D$11</x:f>
        <x:v>0</x:v>
      </x:c>
      <x:c r="U246" s="7" t="str">
        <x:v>Low-volume commercial long tail; retain only when real supply evidence is available.</x:v>
      </x:c>
    </x:row>
    <x:row r="247" ht="19" customHeight="1">
      <x:c r="A247" s="7" t="str">
        <x:v>hydraulic seal kit in stock</x:v>
      </x:c>
      <x:c r="B247" s="8" t="n">
        <x:v>0</x:v>
      </x:c>
      <x:c r="C247" s="9" t="n">
        <x:v>0</x:v>
      </x:c>
      <x:c r="D247" s="10" t="n">
        <x:v>0</x:v>
      </x:c>
      <x:c r="E247" s="8" t="n">
        <x:v>0</x:v>
      </x:c>
      <x:c r="F247" s="11" t="n">
        <x:v>0</x:v>
      </x:c>
      <x:c r="G247" s="7" t="str">
        <x:v>Transactional</x:v>
      </x:c>
      <x:c r="H247" s="7" t="str">
        <x:v>Repair Kits &amp; Service Parts</x:v>
      </x:c>
      <x:c r="I247" s="7" t="n">
        <x:v>5</x:v>
      </x:c>
      <x:c r="J247" s="7" t="str">
        <x:v>/products/hydraulic-repair-kits/</x:v>
      </x:c>
      <x:c r="K247" s="7" t="str">
        <x:v>Covered</x:v>
      </x:c>
      <x:c r="L247" s="7" t="str">
        <x:v>Optimize existing page</x:v>
      </x:c>
      <x:c r="M247" s="7" t="str">
        <x:v>Product / category</x:v>
      </x:c>
      <x:c r="N247" s="7" t="n">
        <x:v>5</x:v>
      </x:c>
      <x:c r="O247" s="7" t="n">
        <x:f>IF(B247&gt;=1000,5,IF(B247&gt;=300,4,IF(B247&gt;=100,3,IF(B247&gt;=30,2,IF(B247&gt;=10,1,0)))))</x:f>
        <x:v>0</x:v>
      </x:c>
      <x:c r="P247" s="7" t="n">
        <x:f>IF(C247&gt;=5,4,IF(C247&gt;=2,3,IF(C247&gt;=1,2,IF(C247&gt;0,1,0))))</x:f>
        <x:v>0</x:v>
      </x:c>
      <x:c r="Q247" s="7" t="n">
        <x:f>N247*2+O247+P247+IF(F247&gt;=0.2,1,0)+IF(K247="Gap",2,0)-IF(I247&lt;=2,5,0)</x:f>
        <x:v>10</x:v>
      </x:c>
      <x:c r="R247" s="7" t="str">
        <x:f>IF(I247&lt;=2,"D",IF(Q247&gt;=15,"A",IF(Q247&gt;=11,"B",IF(Q247&gt;=7,"C","D"))))</x:f>
        <x:v>C</x:v>
      </x:c>
      <x:c r="S247" s="12" t="n">
        <x:f>B247*'Dashboard'!$B$11</x:f>
        <x:v>0</x:v>
      </x:c>
      <x:c r="T247" s="10" t="n">
        <x:f>S247*'Dashboard'!$D$11</x:f>
        <x:v>0</x:v>
      </x:c>
      <x:c r="U247" s="7" t="str">
        <x:v>Low-volume commercial long tail; retain only when real supply evidence is available.</x:v>
      </x:c>
    </x:row>
    <x:row r="248" ht="19" customHeight="1">
      <x:c r="A248" s="7" t="str">
        <x:v>hydraulic seal kit manufacturer</x:v>
      </x:c>
      <x:c r="B248" s="8" t="n">
        <x:v>0</x:v>
      </x:c>
      <x:c r="C248" s="9" t="n">
        <x:v>0</x:v>
      </x:c>
      <x:c r="D248" s="10" t="n">
        <x:v>0</x:v>
      </x:c>
      <x:c r="E248" s="8" t="n">
        <x:v>0</x:v>
      </x:c>
      <x:c r="F248" s="11" t="n">
        <x:v>0</x:v>
      </x:c>
      <x:c r="G248" s="7" t="str">
        <x:v>Transactional</x:v>
      </x:c>
      <x:c r="H248" s="7" t="str">
        <x:v>Repair Kits &amp; Service Parts</x:v>
      </x:c>
      <x:c r="I248" s="7" t="n">
        <x:v>5</x:v>
      </x:c>
      <x:c r="J248" s="7" t="str">
        <x:v>/products/hydraulic-repair-kits/</x:v>
      </x:c>
      <x:c r="K248" s="7" t="str">
        <x:v>Covered</x:v>
      </x:c>
      <x:c r="L248" s="7" t="str">
        <x:v>Optimize existing page</x:v>
      </x:c>
      <x:c r="M248" s="7" t="str">
        <x:v>Product / category</x:v>
      </x:c>
      <x:c r="N248" s="7" t="n">
        <x:v>5</x:v>
      </x:c>
      <x:c r="O248" s="7" t="n">
        <x:f>IF(B248&gt;=1000,5,IF(B248&gt;=300,4,IF(B248&gt;=100,3,IF(B248&gt;=30,2,IF(B248&gt;=10,1,0)))))</x:f>
        <x:v>0</x:v>
      </x:c>
      <x:c r="P248" s="7" t="n">
        <x:f>IF(C248&gt;=5,4,IF(C248&gt;=2,3,IF(C248&gt;=1,2,IF(C248&gt;0,1,0))))</x:f>
        <x:v>0</x:v>
      </x:c>
      <x:c r="Q248" s="7" t="n">
        <x:f>N248*2+O248+P248+IF(F248&gt;=0.2,1,0)+IF(K248="Gap",2,0)-IF(I248&lt;=2,5,0)</x:f>
        <x:v>10</x:v>
      </x:c>
      <x:c r="R248" s="7" t="str">
        <x:f>IF(I248&lt;=2,"D",IF(Q248&gt;=15,"A",IF(Q248&gt;=11,"B",IF(Q248&gt;=7,"C","D"))))</x:f>
        <x:v>C</x:v>
      </x:c>
      <x:c r="S248" s="12" t="n">
        <x:f>B248*'Dashboard'!$B$11</x:f>
        <x:v>0</x:v>
      </x:c>
      <x:c r="T248" s="10" t="n">
        <x:f>S248*'Dashboard'!$D$11</x:f>
        <x:v>0</x:v>
      </x:c>
      <x:c r="U248" s="7" t="str">
        <x:v>Low-volume commercial long tail; retain only when real supply evidence is available.</x:v>
      </x:c>
    </x:row>
    <x:row r="249" ht="19" customHeight="1">
      <x:c r="A249" s="7" t="str">
        <x:v>hydraulic seal kit replacement</x:v>
      </x:c>
      <x:c r="B249" s="8" t="n">
        <x:v>0</x:v>
      </x:c>
      <x:c r="C249" s="9" t="n">
        <x:v>0</x:v>
      </x:c>
      <x:c r="D249" s="10" t="n">
        <x:v>0</x:v>
      </x:c>
      <x:c r="E249" s="8" t="n">
        <x:v>0</x:v>
      </x:c>
      <x:c r="F249" s="11" t="n">
        <x:v>0</x:v>
      </x:c>
      <x:c r="G249" s="7" t="str">
        <x:v>Commercial</x:v>
      </x:c>
      <x:c r="H249" s="7" t="str">
        <x:v>Repair Kits &amp; Service Parts</x:v>
      </x:c>
      <x:c r="I249" s="7" t="n">
        <x:v>5</x:v>
      </x:c>
      <x:c r="J249" s="7" t="str">
        <x:v>/products/hydraulic-repair-kits/</x:v>
      </x:c>
      <x:c r="K249" s="7" t="str">
        <x:v>Covered</x:v>
      </x:c>
      <x:c r="L249" s="7" t="str">
        <x:v>Optimize existing page</x:v>
      </x:c>
      <x:c r="M249" s="7" t="str">
        <x:v>Product / category</x:v>
      </x:c>
      <x:c r="N249" s="7" t="n">
        <x:v>5</x:v>
      </x:c>
      <x:c r="O249" s="7" t="n">
        <x:f>IF(B249&gt;=1000,5,IF(B249&gt;=300,4,IF(B249&gt;=100,3,IF(B249&gt;=30,2,IF(B249&gt;=10,1,0)))))</x:f>
        <x:v>0</x:v>
      </x:c>
      <x:c r="P249" s="7" t="n">
        <x:f>IF(C249&gt;=5,4,IF(C249&gt;=2,3,IF(C249&gt;=1,2,IF(C249&gt;0,1,0))))</x:f>
        <x:v>0</x:v>
      </x:c>
      <x:c r="Q249" s="7" t="n">
        <x:f>N249*2+O249+P249+IF(F249&gt;=0.2,1,0)+IF(K249="Gap",2,0)-IF(I249&lt;=2,5,0)</x:f>
        <x:v>10</x:v>
      </x:c>
      <x:c r="R249" s="7" t="str">
        <x:f>IF(I249&lt;=2,"D",IF(Q249&gt;=15,"A",IF(Q249&gt;=11,"B",IF(Q249&gt;=7,"C","D"))))</x:f>
        <x:v>C</x:v>
      </x:c>
      <x:c r="S249" s="12" t="n">
        <x:f>B249*'Dashboard'!$B$11</x:f>
        <x:v>0</x:v>
      </x:c>
      <x:c r="T249" s="10" t="n">
        <x:f>S249*'Dashboard'!$D$11</x:f>
        <x:v>0</x:v>
      </x:c>
      <x:c r="U249" s="7" t="str">
        <x:v>Low-volume commercial long tail; retain only when real supply evidence is available.</x:v>
      </x:c>
    </x:row>
    <x:row r="250" ht="19" customHeight="1">
      <x:c r="A250" s="7" t="str">
        <x:v>hydraulic seal kit supplier</x:v>
      </x:c>
      <x:c r="B250" s="8" t="n">
        <x:v>0</x:v>
      </x:c>
      <x:c r="C250" s="9" t="n">
        <x:v>0</x:v>
      </x:c>
      <x:c r="D250" s="10" t="n">
        <x:v>0</x:v>
      </x:c>
      <x:c r="E250" s="8" t="n">
        <x:v>0</x:v>
      </x:c>
      <x:c r="F250" s="11" t="n">
        <x:v>0</x:v>
      </x:c>
      <x:c r="G250" s="7" t="str">
        <x:v>Transactional</x:v>
      </x:c>
      <x:c r="H250" s="7" t="str">
        <x:v>Repair Kits &amp; Service Parts</x:v>
      </x:c>
      <x:c r="I250" s="7" t="n">
        <x:v>5</x:v>
      </x:c>
      <x:c r="J250" s="7" t="str">
        <x:v>/products/hydraulic-repair-kits/</x:v>
      </x:c>
      <x:c r="K250" s="7" t="str">
        <x:v>Covered</x:v>
      </x:c>
      <x:c r="L250" s="7" t="str">
        <x:v>Optimize existing page</x:v>
      </x:c>
      <x:c r="M250" s="7" t="str">
        <x:v>Product / category</x:v>
      </x:c>
      <x:c r="N250" s="7" t="n">
        <x:v>5</x:v>
      </x:c>
      <x:c r="O250" s="7" t="n">
        <x:f>IF(B250&gt;=1000,5,IF(B250&gt;=300,4,IF(B250&gt;=100,3,IF(B250&gt;=30,2,IF(B250&gt;=10,1,0)))))</x:f>
        <x:v>0</x:v>
      </x:c>
      <x:c r="P250" s="7" t="n">
        <x:f>IF(C250&gt;=5,4,IF(C250&gt;=2,3,IF(C250&gt;=1,2,IF(C250&gt;0,1,0))))</x:f>
        <x:v>0</x:v>
      </x:c>
      <x:c r="Q250" s="7" t="n">
        <x:f>N250*2+O250+P250+IF(F250&gt;=0.2,1,0)+IF(K250="Gap",2,0)-IF(I250&lt;=2,5,0)</x:f>
        <x:v>10</x:v>
      </x:c>
      <x:c r="R250" s="7" t="str">
        <x:f>IF(I250&lt;=2,"D",IF(Q250&gt;=15,"A",IF(Q250&gt;=11,"B",IF(Q250&gt;=7,"C","D"))))</x:f>
        <x:v>C</x:v>
      </x:c>
      <x:c r="S250" s="12" t="n">
        <x:f>B250*'Dashboard'!$B$11</x:f>
        <x:v>0</x:v>
      </x:c>
      <x:c r="T250" s="10" t="n">
        <x:f>S250*'Dashboard'!$D$11</x:f>
        <x:v>0</x:v>
      </x:c>
      <x:c r="U250" s="7" t="str">
        <x:v>Low-volume commercial long tail; retain only when real supply evidence is available.</x:v>
      </x:c>
    </x:row>
    <x:row r="251" ht="19" customHeight="1">
      <x:c r="A251" s="7" t="str">
        <x:v>hydraulic valve aftermarket</x:v>
      </x:c>
      <x:c r="B251" s="8" t="n">
        <x:v>0</x:v>
      </x:c>
      <x:c r="C251" s="9" t="n">
        <x:v>0</x:v>
      </x:c>
      <x:c r="D251" s="10" t="n">
        <x:v>0</x:v>
      </x:c>
      <x:c r="E251" s="8" t="n">
        <x:v>0</x:v>
      </x:c>
      <x:c r="F251" s="11" t="n">
        <x:v>0</x:v>
      </x:c>
      <x:c r="G251" s="7" t="str">
        <x:v>Commercial</x:v>
      </x:c>
      <x:c r="H251" s="7" t="str">
        <x:v>Replacement &amp; Cross-reference</x:v>
      </x:c>
      <x:c r="I251" s="7" t="n">
        <x:v>5</x:v>
      </x:c>
      <x:c r="J251" s="7" t="str">
        <x:v>/products/hydraulic-valves/</x:v>
      </x:c>
      <x:c r="K251" s="7" t="str">
        <x:v>Covered</x:v>
      </x:c>
      <x:c r="L251" s="7" t="str">
        <x:v>Optimize existing page</x:v>
      </x:c>
      <x:c r="M251" s="7" t="str">
        <x:v>Alternative / cross-reference</x:v>
      </x:c>
      <x:c r="N251" s="7" t="n">
        <x:v>5</x:v>
      </x:c>
      <x:c r="O251" s="7" t="n">
        <x:f>IF(B251&gt;=1000,5,IF(B251&gt;=300,4,IF(B251&gt;=100,3,IF(B251&gt;=30,2,IF(B251&gt;=10,1,0)))))</x:f>
        <x:v>0</x:v>
      </x:c>
      <x:c r="P251" s="7" t="n">
        <x:f>IF(C251&gt;=5,4,IF(C251&gt;=2,3,IF(C251&gt;=1,2,IF(C251&gt;0,1,0))))</x:f>
        <x:v>0</x:v>
      </x:c>
      <x:c r="Q251" s="7" t="n">
        <x:f>N251*2+O251+P251+IF(F251&gt;=0.2,1,0)+IF(K251="Gap",2,0)-IF(I251&lt;=2,5,0)</x:f>
        <x:v>10</x:v>
      </x:c>
      <x:c r="R251" s="7" t="str">
        <x:f>IF(I251&lt;=2,"D",IF(Q251&gt;=15,"A",IF(Q251&gt;=11,"B",IF(Q251&gt;=7,"C","D"))))</x:f>
        <x:v>C</x:v>
      </x:c>
      <x:c r="S251" s="12" t="n">
        <x:f>B251*'Dashboard'!$B$11</x:f>
        <x:v>0</x:v>
      </x:c>
      <x:c r="T251" s="10" t="n">
        <x:f>S251*'Dashboard'!$D$11</x:f>
        <x:v>0</x:v>
      </x:c>
      <x:c r="U251" s="7" t="str">
        <x:v>Low-volume commercial long tail; retain only when real supply evidence is available.</x:v>
      </x:c>
    </x:row>
    <x:row r="252" ht="19" customHeight="1">
      <x:c r="A252" s="7" t="str">
        <x:v>hydraulic valve equivalent</x:v>
      </x:c>
      <x:c r="B252" s="8" t="n">
        <x:v>0</x:v>
      </x:c>
      <x:c r="C252" s="9" t="n">
        <x:v>0</x:v>
      </x:c>
      <x:c r="D252" s="10" t="n">
        <x:v>0</x:v>
      </x:c>
      <x:c r="E252" s="8" t="n">
        <x:v>0</x:v>
      </x:c>
      <x:c r="F252" s="11" t="n">
        <x:v>0</x:v>
      </x:c>
      <x:c r="G252" s="7" t="str">
        <x:v>Commercial</x:v>
      </x:c>
      <x:c r="H252" s="7" t="str">
        <x:v>Replacement &amp; Cross-reference</x:v>
      </x:c>
      <x:c r="I252" s="7" t="n">
        <x:v>5</x:v>
      </x:c>
      <x:c r="J252" s="7" t="str">
        <x:v>/products/hydraulic-valves/</x:v>
      </x:c>
      <x:c r="K252" s="7" t="str">
        <x:v>Covered</x:v>
      </x:c>
      <x:c r="L252" s="7" t="str">
        <x:v>Optimize existing page</x:v>
      </x:c>
      <x:c r="M252" s="7" t="str">
        <x:v>Alternative / cross-reference</x:v>
      </x:c>
      <x:c r="N252" s="7" t="n">
        <x:v>5</x:v>
      </x:c>
      <x:c r="O252" s="7" t="n">
        <x:f>IF(B252&gt;=1000,5,IF(B252&gt;=300,4,IF(B252&gt;=100,3,IF(B252&gt;=30,2,IF(B252&gt;=10,1,0)))))</x:f>
        <x:v>0</x:v>
      </x:c>
      <x:c r="P252" s="7" t="n">
        <x:f>IF(C252&gt;=5,4,IF(C252&gt;=2,3,IF(C252&gt;=1,2,IF(C252&gt;0,1,0))))</x:f>
        <x:v>0</x:v>
      </x:c>
      <x:c r="Q252" s="7" t="n">
        <x:f>N252*2+O252+P252+IF(F252&gt;=0.2,1,0)+IF(K252="Gap",2,0)-IF(I252&lt;=2,5,0)</x:f>
        <x:v>10</x:v>
      </x:c>
      <x:c r="R252" s="7" t="str">
        <x:f>IF(I252&lt;=2,"D",IF(Q252&gt;=15,"A",IF(Q252&gt;=11,"B",IF(Q252&gt;=7,"C","D"))))</x:f>
        <x:v>C</x:v>
      </x:c>
      <x:c r="S252" s="12" t="n">
        <x:f>B252*'Dashboard'!$B$11</x:f>
        <x:v>0</x:v>
      </x:c>
      <x:c r="T252" s="10" t="n">
        <x:f>S252*'Dashboard'!$D$11</x:f>
        <x:v>0</x:v>
      </x:c>
      <x:c r="U252" s="7" t="str">
        <x:v>Low-volume commercial long tail; retain only when real supply evidence is available.</x:v>
      </x:c>
    </x:row>
    <x:row r="253" ht="19" customHeight="1">
      <x:c r="A253" s="7" t="str">
        <x:v>hydraulic valve in stock</x:v>
      </x:c>
      <x:c r="B253" s="8" t="n">
        <x:v>0</x:v>
      </x:c>
      <x:c r="C253" s="9" t="n">
        <x:v>0</x:v>
      </x:c>
      <x:c r="D253" s="10" t="n">
        <x:v>0</x:v>
      </x:c>
      <x:c r="E253" s="8" t="n">
        <x:v>0</x:v>
      </x:c>
      <x:c r="F253" s="11" t="n">
        <x:v>0</x:v>
      </x:c>
      <x:c r="G253" s="7" t="str">
        <x:v>Transactional</x:v>
      </x:c>
      <x:c r="H253" s="7" t="str">
        <x:v>Hydraulic Valves</x:v>
      </x:c>
      <x:c r="I253" s="7" t="n">
        <x:v>5</x:v>
      </x:c>
      <x:c r="J253" s="7" t="str">
        <x:v>/products/hydraulic-valves/</x:v>
      </x:c>
      <x:c r="K253" s="7" t="str">
        <x:v>Covered</x:v>
      </x:c>
      <x:c r="L253" s="7" t="str">
        <x:v>Optimize existing page</x:v>
      </x:c>
      <x:c r="M253" s="7" t="str">
        <x:v>Product / category</x:v>
      </x:c>
      <x:c r="N253" s="7" t="n">
        <x:v>5</x:v>
      </x:c>
      <x:c r="O253" s="7" t="n">
        <x:f>IF(B253&gt;=1000,5,IF(B253&gt;=300,4,IF(B253&gt;=100,3,IF(B253&gt;=30,2,IF(B253&gt;=10,1,0)))))</x:f>
        <x:v>0</x:v>
      </x:c>
      <x:c r="P253" s="7" t="n">
        <x:f>IF(C253&gt;=5,4,IF(C253&gt;=2,3,IF(C253&gt;=1,2,IF(C253&gt;0,1,0))))</x:f>
        <x:v>0</x:v>
      </x:c>
      <x:c r="Q253" s="7" t="n">
        <x:f>N253*2+O253+P253+IF(F253&gt;=0.2,1,0)+IF(K253="Gap",2,0)-IF(I253&lt;=2,5,0)</x:f>
        <x:v>10</x:v>
      </x:c>
      <x:c r="R253" s="7" t="str">
        <x:f>IF(I253&lt;=2,"D",IF(Q253&gt;=15,"A",IF(Q253&gt;=11,"B",IF(Q253&gt;=7,"C","D"))))</x:f>
        <x:v>C</x:v>
      </x:c>
      <x:c r="S253" s="12" t="n">
        <x:f>B253*'Dashboard'!$B$11</x:f>
        <x:v>0</x:v>
      </x:c>
      <x:c r="T253" s="10" t="n">
        <x:f>S253*'Dashboard'!$D$11</x:f>
        <x:v>0</x:v>
      </x:c>
      <x:c r="U253" s="7" t="str">
        <x:v>Low-volume commercial long tail; retain only when real supply evidence is available.</x:v>
      </x:c>
    </x:row>
    <x:row r="254" ht="19" customHeight="1">
      <x:c r="A254" s="7" t="str">
        <x:v>hydraulic valve parts aftermarket</x:v>
      </x:c>
      <x:c r="B254" s="8" t="n">
        <x:v>0</x:v>
      </x:c>
      <x:c r="C254" s="9" t="n">
        <x:v>0</x:v>
      </x:c>
      <x:c r="D254" s="10" t="n">
        <x:v>0</x:v>
      </x:c>
      <x:c r="E254" s="8" t="n">
        <x:v>0</x:v>
      </x:c>
      <x:c r="F254" s="11" t="n">
        <x:v>0</x:v>
      </x:c>
      <x:c r="G254" s="7" t="str">
        <x:v>Commercial</x:v>
      </x:c>
      <x:c r="H254" s="7" t="str">
        <x:v>Replacement &amp; Cross-reference</x:v>
      </x:c>
      <x:c r="I254" s="7" t="n">
        <x:v>5</x:v>
      </x:c>
      <x:c r="J254" s="7" t="str">
        <x:v>/products/hydraulic-valves/</x:v>
      </x:c>
      <x:c r="K254" s="7" t="str">
        <x:v>Covered</x:v>
      </x:c>
      <x:c r="L254" s="7" t="str">
        <x:v>Optimize existing page</x:v>
      </x:c>
      <x:c r="M254" s="7" t="str">
        <x:v>Alternative / cross-reference</x:v>
      </x:c>
      <x:c r="N254" s="7" t="n">
        <x:v>5</x:v>
      </x:c>
      <x:c r="O254" s="7" t="n">
        <x:f>IF(B254&gt;=1000,5,IF(B254&gt;=300,4,IF(B254&gt;=100,3,IF(B254&gt;=30,2,IF(B254&gt;=10,1,0)))))</x:f>
        <x:v>0</x:v>
      </x:c>
      <x:c r="P254" s="7" t="n">
        <x:f>IF(C254&gt;=5,4,IF(C254&gt;=2,3,IF(C254&gt;=1,2,IF(C254&gt;0,1,0))))</x:f>
        <x:v>0</x:v>
      </x:c>
      <x:c r="Q254" s="7" t="n">
        <x:f>N254*2+O254+P254+IF(F254&gt;=0.2,1,0)+IF(K254="Gap",2,0)-IF(I254&lt;=2,5,0)</x:f>
        <x:v>10</x:v>
      </x:c>
      <x:c r="R254" s="7" t="str">
        <x:f>IF(I254&lt;=2,"D",IF(Q254&gt;=15,"A",IF(Q254&gt;=11,"B",IF(Q254&gt;=7,"C","D"))))</x:f>
        <x:v>C</x:v>
      </x:c>
      <x:c r="S254" s="12" t="n">
        <x:f>B254*'Dashboard'!$B$11</x:f>
        <x:v>0</x:v>
      </x:c>
      <x:c r="T254" s="10" t="n">
        <x:f>S254*'Dashboard'!$D$11</x:f>
        <x:v>0</x:v>
      </x:c>
      <x:c r="U254" s="7" t="str">
        <x:v>Low-volume commercial long tail; retain only when real supply evidence is available.</x:v>
      </x:c>
    </x:row>
    <x:row r="255" ht="19" customHeight="1">
      <x:c r="A255" s="7" t="str">
        <x:v>hydraulic valve parts in stock</x:v>
      </x:c>
      <x:c r="B255" s="8" t="n">
        <x:v>0</x:v>
      </x:c>
      <x:c r="C255" s="9" t="n">
        <x:v>0</x:v>
      </x:c>
      <x:c r="D255" s="10" t="n">
        <x:v>0</x:v>
      </x:c>
      <x:c r="E255" s="8" t="n">
        <x:v>0</x:v>
      </x:c>
      <x:c r="F255" s="11" t="n">
        <x:v>0</x:v>
      </x:c>
      <x:c r="G255" s="7" t="str">
        <x:v>Transactional</x:v>
      </x:c>
      <x:c r="H255" s="7" t="str">
        <x:v>Hydraulic Valves</x:v>
      </x:c>
      <x:c r="I255" s="7" t="n">
        <x:v>5</x:v>
      </x:c>
      <x:c r="J255" s="7" t="str">
        <x:v>/products/hydraulic-valves/</x:v>
      </x:c>
      <x:c r="K255" s="7" t="str">
        <x:v>Covered</x:v>
      </x:c>
      <x:c r="L255" s="7" t="str">
        <x:v>Optimize existing page</x:v>
      </x:c>
      <x:c r="M255" s="7" t="str">
        <x:v>Product / category</x:v>
      </x:c>
      <x:c r="N255" s="7" t="n">
        <x:v>5</x:v>
      </x:c>
      <x:c r="O255" s="7" t="n">
        <x:f>IF(B255&gt;=1000,5,IF(B255&gt;=300,4,IF(B255&gt;=100,3,IF(B255&gt;=30,2,IF(B255&gt;=10,1,0)))))</x:f>
        <x:v>0</x:v>
      </x:c>
      <x:c r="P255" s="7" t="n">
        <x:f>IF(C255&gt;=5,4,IF(C255&gt;=2,3,IF(C255&gt;=1,2,IF(C255&gt;0,1,0))))</x:f>
        <x:v>0</x:v>
      </x:c>
      <x:c r="Q255" s="7" t="n">
        <x:f>N255*2+O255+P255+IF(F255&gt;=0.2,1,0)+IF(K255="Gap",2,0)-IF(I255&lt;=2,5,0)</x:f>
        <x:v>10</x:v>
      </x:c>
      <x:c r="R255" s="7" t="str">
        <x:f>IF(I255&lt;=2,"D",IF(Q255&gt;=15,"A",IF(Q255&gt;=11,"B",IF(Q255&gt;=7,"C","D"))))</x:f>
        <x:v>C</x:v>
      </x:c>
      <x:c r="S255" s="12" t="n">
        <x:f>B255*'Dashboard'!$B$11</x:f>
        <x:v>0</x:v>
      </x:c>
      <x:c r="T255" s="10" t="n">
        <x:f>S255*'Dashboard'!$D$11</x:f>
        <x:v>0</x:v>
      </x:c>
      <x:c r="U255" s="7" t="str">
        <x:v>Low-volume commercial long tail; retain only when real supply evidence is available.</x:v>
      </x:c>
    </x:row>
    <x:row r="256" ht="19" customHeight="1">
      <x:c r="A256" s="7" t="str">
        <x:v>hydraulic valve parts manufacturer</x:v>
      </x:c>
      <x:c r="B256" s="8" t="n">
        <x:v>0</x:v>
      </x:c>
      <x:c r="C256" s="9" t="n">
        <x:v>0</x:v>
      </x:c>
      <x:c r="D256" s="10" t="n">
        <x:v>0</x:v>
      </x:c>
      <x:c r="E256" s="8" t="n">
        <x:v>0</x:v>
      </x:c>
      <x:c r="F256" s="11" t="n">
        <x:v>0</x:v>
      </x:c>
      <x:c r="G256" s="7" t="str">
        <x:v>Transactional</x:v>
      </x:c>
      <x:c r="H256" s="7" t="str">
        <x:v>Hydraulic Valves</x:v>
      </x:c>
      <x:c r="I256" s="7" t="n">
        <x:v>5</x:v>
      </x:c>
      <x:c r="J256" s="7" t="str">
        <x:v>/products/hydraulic-valves/</x:v>
      </x:c>
      <x:c r="K256" s="7" t="str">
        <x:v>Covered</x:v>
      </x:c>
      <x:c r="L256" s="7" t="str">
        <x:v>Optimize existing page</x:v>
      </x:c>
      <x:c r="M256" s="7" t="str">
        <x:v>Product / category</x:v>
      </x:c>
      <x:c r="N256" s="7" t="n">
        <x:v>5</x:v>
      </x:c>
      <x:c r="O256" s="7" t="n">
        <x:f>IF(B256&gt;=1000,5,IF(B256&gt;=300,4,IF(B256&gt;=100,3,IF(B256&gt;=30,2,IF(B256&gt;=10,1,0)))))</x:f>
        <x:v>0</x:v>
      </x:c>
      <x:c r="P256" s="7" t="n">
        <x:f>IF(C256&gt;=5,4,IF(C256&gt;=2,3,IF(C256&gt;=1,2,IF(C256&gt;0,1,0))))</x:f>
        <x:v>0</x:v>
      </x:c>
      <x:c r="Q256" s="7" t="n">
        <x:f>N256*2+O256+P256+IF(F256&gt;=0.2,1,0)+IF(K256="Gap",2,0)-IF(I256&lt;=2,5,0)</x:f>
        <x:v>10</x:v>
      </x:c>
      <x:c r="R256" s="7" t="str">
        <x:f>IF(I256&lt;=2,"D",IF(Q256&gt;=15,"A",IF(Q256&gt;=11,"B",IF(Q256&gt;=7,"C","D"))))</x:f>
        <x:v>C</x:v>
      </x:c>
      <x:c r="S256" s="12" t="n">
        <x:f>B256*'Dashboard'!$B$11</x:f>
        <x:v>0</x:v>
      </x:c>
      <x:c r="T256" s="10" t="n">
        <x:f>S256*'Dashboard'!$D$11</x:f>
        <x:v>0</x:v>
      </x:c>
      <x:c r="U256" s="7" t="str">
        <x:v>Low-volume commercial long tail; retain only when real supply evidence is available.</x:v>
      </x:c>
    </x:row>
    <x:row r="257" ht="19" customHeight="1">
      <x:c r="A257" s="7" t="str">
        <x:v>hydraulic valve parts replacement</x:v>
      </x:c>
      <x:c r="B257" s="8" t="n">
        <x:v>0</x:v>
      </x:c>
      <x:c r="C257" s="9" t="n">
        <x:v>0</x:v>
      </x:c>
      <x:c r="D257" s="10" t="n">
        <x:v>0</x:v>
      </x:c>
      <x:c r="E257" s="8" t="n">
        <x:v>0</x:v>
      </x:c>
      <x:c r="F257" s="11" t="n">
        <x:v>0</x:v>
      </x:c>
      <x:c r="G257" s="7" t="str">
        <x:v>Commercial</x:v>
      </x:c>
      <x:c r="H257" s="7" t="str">
        <x:v>Replacement &amp; Cross-reference</x:v>
      </x:c>
      <x:c r="I257" s="7" t="n">
        <x:v>5</x:v>
      </x:c>
      <x:c r="J257" s="7" t="str">
        <x:v>/products/hydraulic-valves/</x:v>
      </x:c>
      <x:c r="K257" s="7" t="str">
        <x:v>Covered</x:v>
      </x:c>
      <x:c r="L257" s="7" t="str">
        <x:v>Optimize existing page</x:v>
      </x:c>
      <x:c r="M257" s="7" t="str">
        <x:v>Alternative / cross-reference</x:v>
      </x:c>
      <x:c r="N257" s="7" t="n">
        <x:v>5</x:v>
      </x:c>
      <x:c r="O257" s="7" t="n">
        <x:f>IF(B257&gt;=1000,5,IF(B257&gt;=300,4,IF(B257&gt;=100,3,IF(B257&gt;=30,2,IF(B257&gt;=10,1,0)))))</x:f>
        <x:v>0</x:v>
      </x:c>
      <x:c r="P257" s="7" t="n">
        <x:f>IF(C257&gt;=5,4,IF(C257&gt;=2,3,IF(C257&gt;=1,2,IF(C257&gt;0,1,0))))</x:f>
        <x:v>0</x:v>
      </x:c>
      <x:c r="Q257" s="7" t="n">
        <x:f>N257*2+O257+P257+IF(F257&gt;=0.2,1,0)+IF(K257="Gap",2,0)-IF(I257&lt;=2,5,0)</x:f>
        <x:v>10</x:v>
      </x:c>
      <x:c r="R257" s="7" t="str">
        <x:f>IF(I257&lt;=2,"D",IF(Q257&gt;=15,"A",IF(Q257&gt;=11,"B",IF(Q257&gt;=7,"C","D"))))</x:f>
        <x:v>C</x:v>
      </x:c>
      <x:c r="S257" s="12" t="n">
        <x:f>B257*'Dashboard'!$B$11</x:f>
        <x:v>0</x:v>
      </x:c>
      <x:c r="T257" s="10" t="n">
        <x:f>S257*'Dashboard'!$D$11</x:f>
        <x:v>0</x:v>
      </x:c>
      <x:c r="U257" s="7" t="str">
        <x:v>Low-volume commercial long tail; retain only when real supply evidence is available.</x:v>
      </x:c>
    </x:row>
    <x:row r="258" ht="19" customHeight="1">
      <x:c r="A258" s="7" t="str">
        <x:v>hydraulic valve parts supplier</x:v>
      </x:c>
      <x:c r="B258" s="8" t="n">
        <x:v>0</x:v>
      </x:c>
      <x:c r="C258" s="9" t="n">
        <x:v>0</x:v>
      </x:c>
      <x:c r="D258" s="10" t="n">
        <x:v>0</x:v>
      </x:c>
      <x:c r="E258" s="8" t="n">
        <x:v>0</x:v>
      </x:c>
      <x:c r="F258" s="11" t="n">
        <x:v>0</x:v>
      </x:c>
      <x:c r="G258" s="7" t="str">
        <x:v>Transactional</x:v>
      </x:c>
      <x:c r="H258" s="7" t="str">
        <x:v>Hydraulic Valves</x:v>
      </x:c>
      <x:c r="I258" s="7" t="n">
        <x:v>5</x:v>
      </x:c>
      <x:c r="J258" s="7" t="str">
        <x:v>/products/hydraulic-valves/</x:v>
      </x:c>
      <x:c r="K258" s="7" t="str">
        <x:v>Covered</x:v>
      </x:c>
      <x:c r="L258" s="7" t="str">
        <x:v>Optimize existing page</x:v>
      </x:c>
      <x:c r="M258" s="7" t="str">
        <x:v>Product / category</x:v>
      </x:c>
      <x:c r="N258" s="7" t="n">
        <x:v>5</x:v>
      </x:c>
      <x:c r="O258" s="7" t="n">
        <x:f>IF(B258&gt;=1000,5,IF(B258&gt;=300,4,IF(B258&gt;=100,3,IF(B258&gt;=30,2,IF(B258&gt;=10,1,0)))))</x:f>
        <x:v>0</x:v>
      </x:c>
      <x:c r="P258" s="7" t="n">
        <x:f>IF(C258&gt;=5,4,IF(C258&gt;=2,3,IF(C258&gt;=1,2,IF(C258&gt;0,1,0))))</x:f>
        <x:v>0</x:v>
      </x:c>
      <x:c r="Q258" s="7" t="n">
        <x:f>N258*2+O258+P258+IF(F258&gt;=0.2,1,0)+IF(K258="Gap",2,0)-IF(I258&lt;=2,5,0)</x:f>
        <x:v>10</x:v>
      </x:c>
      <x:c r="R258" s="7" t="str">
        <x:f>IF(I258&lt;=2,"D",IF(Q258&gt;=15,"A",IF(Q258&gt;=11,"B",IF(Q258&gt;=7,"C","D"))))</x:f>
        <x:v>C</x:v>
      </x:c>
      <x:c r="S258" s="12" t="n">
        <x:f>B258*'Dashboard'!$B$11</x:f>
        <x:v>0</x:v>
      </x:c>
      <x:c r="T258" s="10" t="n">
        <x:f>S258*'Dashboard'!$D$11</x:f>
        <x:v>0</x:v>
      </x:c>
      <x:c r="U258" s="7" t="str">
        <x:v>Low-volume commercial long tail; retain only when real supply evidence is available.</x:v>
      </x:c>
    </x:row>
    <x:row r="259" ht="19" customHeight="1">
      <x:c r="A259" s="7" t="str">
        <x:v>hydraulic valve quote</x:v>
      </x:c>
      <x:c r="B259" s="8" t="n">
        <x:v>0</x:v>
      </x:c>
      <x:c r="C259" s="9" t="n">
        <x:v>0</x:v>
      </x:c>
      <x:c r="D259" s="10" t="n">
        <x:v>0</x:v>
      </x:c>
      <x:c r="E259" s="8" t="n">
        <x:v>0</x:v>
      </x:c>
      <x:c r="F259" s="11" t="n">
        <x:v>0</x:v>
      </x:c>
      <x:c r="G259" s="7" t="str">
        <x:v>Transactional</x:v>
      </x:c>
      <x:c r="H259" s="7" t="str">
        <x:v>Hydraulic Valves</x:v>
      </x:c>
      <x:c r="I259" s="7" t="n">
        <x:v>5</x:v>
      </x:c>
      <x:c r="J259" s="7" t="str">
        <x:v>/products/hydraulic-valves/</x:v>
      </x:c>
      <x:c r="K259" s="7" t="str">
        <x:v>Covered</x:v>
      </x:c>
      <x:c r="L259" s="7" t="str">
        <x:v>Optimize existing page</x:v>
      </x:c>
      <x:c r="M259" s="7" t="str">
        <x:v>Product / category</x:v>
      </x:c>
      <x:c r="N259" s="7" t="n">
        <x:v>5</x:v>
      </x:c>
      <x:c r="O259" s="7" t="n">
        <x:f>IF(B259&gt;=1000,5,IF(B259&gt;=300,4,IF(B259&gt;=100,3,IF(B259&gt;=30,2,IF(B259&gt;=10,1,0)))))</x:f>
        <x:v>0</x:v>
      </x:c>
      <x:c r="P259" s="7" t="n">
        <x:f>IF(C259&gt;=5,4,IF(C259&gt;=2,3,IF(C259&gt;=1,2,IF(C259&gt;0,1,0))))</x:f>
        <x:v>0</x:v>
      </x:c>
      <x:c r="Q259" s="7" t="n">
        <x:f>N259*2+O259+P259+IF(F259&gt;=0.2,1,0)+IF(K259="Gap",2,0)-IF(I259&lt;=2,5,0)</x:f>
        <x:v>10</x:v>
      </x:c>
      <x:c r="R259" s="7" t="str">
        <x:f>IF(I259&lt;=2,"D",IF(Q259&gt;=15,"A",IF(Q259&gt;=11,"B",IF(Q259&gt;=7,"C","D"))))</x:f>
        <x:v>C</x:v>
      </x:c>
      <x:c r="S259" s="12" t="n">
        <x:f>B259*'Dashboard'!$B$11</x:f>
        <x:v>0</x:v>
      </x:c>
      <x:c r="T259" s="10" t="n">
        <x:f>S259*'Dashboard'!$D$11</x:f>
        <x:v>0</x:v>
      </x:c>
      <x:c r="U259" s="7" t="str">
        <x:v>Low-volume commercial long tail; retain only when real supply evidence is available.</x:v>
      </x:c>
    </x:row>
    <x:row r="260" ht="19" customHeight="1">
      <x:c r="A260" s="7" t="str">
        <x:v>hydraulic valve replacement</x:v>
      </x:c>
      <x:c r="B260" s="8" t="n">
        <x:v>0</x:v>
      </x:c>
      <x:c r="C260" s="9" t="n">
        <x:v>0</x:v>
      </x:c>
      <x:c r="D260" s="10" t="n">
        <x:v>0</x:v>
      </x:c>
      <x:c r="E260" s="8" t="n">
        <x:v>0</x:v>
      </x:c>
      <x:c r="F260" s="11" t="n">
        <x:v>0</x:v>
      </x:c>
      <x:c r="G260" s="7" t="str">
        <x:v>Commercial</x:v>
      </x:c>
      <x:c r="H260" s="7" t="str">
        <x:v>Replacement &amp; Cross-reference</x:v>
      </x:c>
      <x:c r="I260" s="7" t="n">
        <x:v>5</x:v>
      </x:c>
      <x:c r="J260" s="7" t="str">
        <x:v>/products/hydraulic-valves/</x:v>
      </x:c>
      <x:c r="K260" s="7" t="str">
        <x:v>Covered</x:v>
      </x:c>
      <x:c r="L260" s="7" t="str">
        <x:v>Optimize existing page</x:v>
      </x:c>
      <x:c r="M260" s="7" t="str">
        <x:v>Alternative / cross-reference</x:v>
      </x:c>
      <x:c r="N260" s="7" t="n">
        <x:v>5</x:v>
      </x:c>
      <x:c r="O260" s="7" t="n">
        <x:f>IF(B260&gt;=1000,5,IF(B260&gt;=300,4,IF(B260&gt;=100,3,IF(B260&gt;=30,2,IF(B260&gt;=10,1,0)))))</x:f>
        <x:v>0</x:v>
      </x:c>
      <x:c r="P260" s="7" t="n">
        <x:f>IF(C260&gt;=5,4,IF(C260&gt;=2,3,IF(C260&gt;=1,2,IF(C260&gt;0,1,0))))</x:f>
        <x:v>0</x:v>
      </x:c>
      <x:c r="Q260" s="7" t="n">
        <x:f>N260*2+O260+P260+IF(F260&gt;=0.2,1,0)+IF(K260="Gap",2,0)-IF(I260&lt;=2,5,0)</x:f>
        <x:v>10</x:v>
      </x:c>
      <x:c r="R260" s="7" t="str">
        <x:f>IF(I260&lt;=2,"D",IF(Q260&gt;=15,"A",IF(Q260&gt;=11,"B",IF(Q260&gt;=7,"C","D"))))</x:f>
        <x:v>C</x:v>
      </x:c>
      <x:c r="S260" s="12" t="n">
        <x:f>B260*'Dashboard'!$B$11</x:f>
        <x:v>0</x:v>
      </x:c>
      <x:c r="T260" s="10" t="n">
        <x:f>S260*'Dashboard'!$D$11</x:f>
        <x:v>0</x:v>
      </x:c>
      <x:c r="U260" s="7" t="str">
        <x:v>Low-volume commercial long tail; retain only when real supply evidence is available.</x:v>
      </x:c>
    </x:row>
    <x:row r="261" ht="19" customHeight="1">
      <x:c r="A261" s="7" t="str">
        <x:v>hydraulic vane pump aftermarket</x:v>
      </x:c>
      <x:c r="B261" s="8" t="n">
        <x:v>0</x:v>
      </x:c>
      <x:c r="C261" s="9" t="n">
        <x:v>0</x:v>
      </x:c>
      <x:c r="D261" s="10" t="n">
        <x:v>0</x:v>
      </x:c>
      <x:c r="E261" s="8" t="n">
        <x:v>0</x:v>
      </x:c>
      <x:c r="F261" s="11" t="n">
        <x:v>0</x:v>
      </x:c>
      <x:c r="G261" s="7" t="str">
        <x:v>Commercial</x:v>
      </x:c>
      <x:c r="H261" s="7" t="str">
        <x:v>Replacement &amp; Cross-reference</x:v>
      </x:c>
      <x:c r="I261" s="7" t="n">
        <x:v>5</x:v>
      </x:c>
      <x:c r="J261" s="7" t="str">
        <x:v>/products/hydraulic-pumps/vane-pumps/</x:v>
      </x:c>
      <x:c r="K261" s="7" t="str">
        <x:v>Covered</x:v>
      </x:c>
      <x:c r="L261" s="7" t="str">
        <x:v>Optimize existing page</x:v>
      </x:c>
      <x:c r="M261" s="7" t="str">
        <x:v>Alternative / cross-reference</x:v>
      </x:c>
      <x:c r="N261" s="7" t="n">
        <x:v>5</x:v>
      </x:c>
      <x:c r="O261" s="7" t="n">
        <x:f>IF(B261&gt;=1000,5,IF(B261&gt;=300,4,IF(B261&gt;=100,3,IF(B261&gt;=30,2,IF(B261&gt;=10,1,0)))))</x:f>
        <x:v>0</x:v>
      </x:c>
      <x:c r="P261" s="7" t="n">
        <x:f>IF(C261&gt;=5,4,IF(C261&gt;=2,3,IF(C261&gt;=1,2,IF(C261&gt;0,1,0))))</x:f>
        <x:v>0</x:v>
      </x:c>
      <x:c r="Q261" s="7" t="n">
        <x:f>N261*2+O261+P261+IF(F261&gt;=0.2,1,0)+IF(K261="Gap",2,0)-IF(I261&lt;=2,5,0)</x:f>
        <x:v>10</x:v>
      </x:c>
      <x:c r="R261" s="7" t="str">
        <x:f>IF(I261&lt;=2,"D",IF(Q261&gt;=15,"A",IF(Q261&gt;=11,"B",IF(Q261&gt;=7,"C","D"))))</x:f>
        <x:v>C</x:v>
      </x:c>
      <x:c r="S261" s="12" t="n">
        <x:f>B261*'Dashboard'!$B$11</x:f>
        <x:v>0</x:v>
      </x:c>
      <x:c r="T261" s="10" t="n">
        <x:f>S261*'Dashboard'!$D$11</x:f>
        <x:v>0</x:v>
      </x:c>
      <x:c r="U261" s="7" t="str">
        <x:v>Low-volume commercial long tail; retain only when real supply evidence is available.</x:v>
      </x:c>
    </x:row>
    <x:row r="262" ht="19" customHeight="1">
      <x:c r="A262" s="7" t="str">
        <x:v>hydraulic vane pump in stock</x:v>
      </x:c>
      <x:c r="B262" s="8" t="n">
        <x:v>0</x:v>
      </x:c>
      <x:c r="C262" s="9" t="n">
        <x:v>0</x:v>
      </x:c>
      <x:c r="D262" s="10" t="n">
        <x:v>0</x:v>
      </x:c>
      <x:c r="E262" s="8" t="n">
        <x:v>0</x:v>
      </x:c>
      <x:c r="F262" s="11" t="n">
        <x:v>0</x:v>
      </x:c>
      <x:c r="G262" s="7" t="str">
        <x:v>Transactional</x:v>
      </x:c>
      <x:c r="H262" s="7" t="str">
        <x:v>Hydraulic Pumps</x:v>
      </x:c>
      <x:c r="I262" s="7" t="n">
        <x:v>5</x:v>
      </x:c>
      <x:c r="J262" s="7" t="str">
        <x:v>/products/hydraulic-pumps/vane-pumps/</x:v>
      </x:c>
      <x:c r="K262" s="7" t="str">
        <x:v>Covered</x:v>
      </x:c>
      <x:c r="L262" s="7" t="str">
        <x:v>Optimize existing page</x:v>
      </x:c>
      <x:c r="M262" s="7" t="str">
        <x:v>Product / category</x:v>
      </x:c>
      <x:c r="N262" s="7" t="n">
        <x:v>5</x:v>
      </x:c>
      <x:c r="O262" s="7" t="n">
        <x:f>IF(B262&gt;=1000,5,IF(B262&gt;=300,4,IF(B262&gt;=100,3,IF(B262&gt;=30,2,IF(B262&gt;=10,1,0)))))</x:f>
        <x:v>0</x:v>
      </x:c>
      <x:c r="P262" s="7" t="n">
        <x:f>IF(C262&gt;=5,4,IF(C262&gt;=2,3,IF(C262&gt;=1,2,IF(C262&gt;0,1,0))))</x:f>
        <x:v>0</x:v>
      </x:c>
      <x:c r="Q262" s="7" t="n">
        <x:f>N262*2+O262+P262+IF(F262&gt;=0.2,1,0)+IF(K262="Gap",2,0)-IF(I262&lt;=2,5,0)</x:f>
        <x:v>10</x:v>
      </x:c>
      <x:c r="R262" s="7" t="str">
        <x:f>IF(I262&lt;=2,"D",IF(Q262&gt;=15,"A",IF(Q262&gt;=11,"B",IF(Q262&gt;=7,"C","D"))))</x:f>
        <x:v>C</x:v>
      </x:c>
      <x:c r="S262" s="12" t="n">
        <x:f>B262*'Dashboard'!$B$11</x:f>
        <x:v>0</x:v>
      </x:c>
      <x:c r="T262" s="10" t="n">
        <x:f>S262*'Dashboard'!$D$11</x:f>
        <x:v>0</x:v>
      </x:c>
      <x:c r="U262" s="7" t="str">
        <x:v>Low-volume commercial long tail; retain only when real supply evidence is available.</x:v>
      </x:c>
    </x:row>
    <x:row r="263" ht="19" customHeight="1">
      <x:c r="A263" s="7" t="str">
        <x:v>hydraulic vane pump manufacturer</x:v>
      </x:c>
      <x:c r="B263" s="8" t="n">
        <x:v>0</x:v>
      </x:c>
      <x:c r="C263" s="9" t="n">
        <x:v>0</x:v>
      </x:c>
      <x:c r="D263" s="10" t="n">
        <x:v>0</x:v>
      </x:c>
      <x:c r="E263" s="8" t="n">
        <x:v>0</x:v>
      </x:c>
      <x:c r="F263" s="11" t="n">
        <x:v>0</x:v>
      </x:c>
      <x:c r="G263" s="7" t="str">
        <x:v>Transactional</x:v>
      </x:c>
      <x:c r="H263" s="7" t="str">
        <x:v>Hydraulic Pumps</x:v>
      </x:c>
      <x:c r="I263" s="7" t="n">
        <x:v>5</x:v>
      </x:c>
      <x:c r="J263" s="7" t="str">
        <x:v>/products/hydraulic-pumps/vane-pumps/</x:v>
      </x:c>
      <x:c r="K263" s="7" t="str">
        <x:v>Covered</x:v>
      </x:c>
      <x:c r="L263" s="7" t="str">
        <x:v>Optimize existing page</x:v>
      </x:c>
      <x:c r="M263" s="7" t="str">
        <x:v>Product / category</x:v>
      </x:c>
      <x:c r="N263" s="7" t="n">
        <x:v>5</x:v>
      </x:c>
      <x:c r="O263" s="7" t="n">
        <x:f>IF(B263&gt;=1000,5,IF(B263&gt;=300,4,IF(B263&gt;=100,3,IF(B263&gt;=30,2,IF(B263&gt;=10,1,0)))))</x:f>
        <x:v>0</x:v>
      </x:c>
      <x:c r="P263" s="7" t="n">
        <x:f>IF(C263&gt;=5,4,IF(C263&gt;=2,3,IF(C263&gt;=1,2,IF(C263&gt;0,1,0))))</x:f>
        <x:v>0</x:v>
      </x:c>
      <x:c r="Q263" s="7" t="n">
        <x:f>N263*2+O263+P263+IF(F263&gt;=0.2,1,0)+IF(K263="Gap",2,0)-IF(I263&lt;=2,5,0)</x:f>
        <x:v>10</x:v>
      </x:c>
      <x:c r="R263" s="7" t="str">
        <x:f>IF(I263&lt;=2,"D",IF(Q263&gt;=15,"A",IF(Q263&gt;=11,"B",IF(Q263&gt;=7,"C","D"))))</x:f>
        <x:v>C</x:v>
      </x:c>
      <x:c r="S263" s="12" t="n">
        <x:f>B263*'Dashboard'!$B$11</x:f>
        <x:v>0</x:v>
      </x:c>
      <x:c r="T263" s="10" t="n">
        <x:f>S263*'Dashboard'!$D$11</x:f>
        <x:v>0</x:v>
      </x:c>
      <x:c r="U263" s="7" t="str">
        <x:v>Low-volume commercial long tail; retain only when real supply evidence is available.</x:v>
      </x:c>
    </x:row>
    <x:row r="264" ht="19" customHeight="1">
      <x:c r="A264" s="7" t="str">
        <x:v>hydraulic vane pump replacement</x:v>
      </x:c>
      <x:c r="B264" s="8" t="n">
        <x:v>0</x:v>
      </x:c>
      <x:c r="C264" s="9" t="n">
        <x:v>0</x:v>
      </x:c>
      <x:c r="D264" s="10" t="n">
        <x:v>0</x:v>
      </x:c>
      <x:c r="E264" s="8" t="n">
        <x:v>0</x:v>
      </x:c>
      <x:c r="F264" s="11" t="n">
        <x:v>0</x:v>
      </x:c>
      <x:c r="G264" s="7" t="str">
        <x:v>Commercial</x:v>
      </x:c>
      <x:c r="H264" s="7" t="str">
        <x:v>Replacement &amp; Cross-reference</x:v>
      </x:c>
      <x:c r="I264" s="7" t="n">
        <x:v>5</x:v>
      </x:c>
      <x:c r="J264" s="7" t="str">
        <x:v>/products/hydraulic-pumps/vane-pumps/</x:v>
      </x:c>
      <x:c r="K264" s="7" t="str">
        <x:v>Covered</x:v>
      </x:c>
      <x:c r="L264" s="7" t="str">
        <x:v>Optimize existing page</x:v>
      </x:c>
      <x:c r="M264" s="7" t="str">
        <x:v>Alternative / cross-reference</x:v>
      </x:c>
      <x:c r="N264" s="7" t="n">
        <x:v>5</x:v>
      </x:c>
      <x:c r="O264" s="7" t="n">
        <x:f>IF(B264&gt;=1000,5,IF(B264&gt;=300,4,IF(B264&gt;=100,3,IF(B264&gt;=30,2,IF(B264&gt;=10,1,0)))))</x:f>
        <x:v>0</x:v>
      </x:c>
      <x:c r="P264" s="7" t="n">
        <x:f>IF(C264&gt;=5,4,IF(C264&gt;=2,3,IF(C264&gt;=1,2,IF(C264&gt;0,1,0))))</x:f>
        <x:v>0</x:v>
      </x:c>
      <x:c r="Q264" s="7" t="n">
        <x:f>N264*2+O264+P264+IF(F264&gt;=0.2,1,0)+IF(K264="Gap",2,0)-IF(I264&lt;=2,5,0)</x:f>
        <x:v>10</x:v>
      </x:c>
      <x:c r="R264" s="7" t="str">
        <x:f>IF(I264&lt;=2,"D",IF(Q264&gt;=15,"A",IF(Q264&gt;=11,"B",IF(Q264&gt;=7,"C","D"))))</x:f>
        <x:v>C</x:v>
      </x:c>
      <x:c r="S264" s="12" t="n">
        <x:f>B264*'Dashboard'!$B$11</x:f>
        <x:v>0</x:v>
      </x:c>
      <x:c r="T264" s="10" t="n">
        <x:f>S264*'Dashboard'!$D$11</x:f>
        <x:v>0</x:v>
      </x:c>
      <x:c r="U264" s="7" t="str">
        <x:v>Low-volume commercial long tail; retain only when real supply evidence is available.</x:v>
      </x:c>
    </x:row>
    <x:row r="265" ht="19" customHeight="1">
      <x:c r="A265" s="7" t="str">
        <x:v>hydraulic vane pump supplier</x:v>
      </x:c>
      <x:c r="B265" s="8" t="n">
        <x:v>0</x:v>
      </x:c>
      <x:c r="C265" s="9" t="n">
        <x:v>0</x:v>
      </x:c>
      <x:c r="D265" s="10" t="n">
        <x:v>0</x:v>
      </x:c>
      <x:c r="E265" s="8" t="n">
        <x:v>0</x:v>
      </x:c>
      <x:c r="F265" s="11" t="n">
        <x:v>0</x:v>
      </x:c>
      <x:c r="G265" s="7" t="str">
        <x:v>Transactional</x:v>
      </x:c>
      <x:c r="H265" s="7" t="str">
        <x:v>Hydraulic Pumps</x:v>
      </x:c>
      <x:c r="I265" s="7" t="n">
        <x:v>5</x:v>
      </x:c>
      <x:c r="J265" s="7" t="str">
        <x:v>/products/hydraulic-pumps/vane-pumps/</x:v>
      </x:c>
      <x:c r="K265" s="7" t="str">
        <x:v>Covered</x:v>
      </x:c>
      <x:c r="L265" s="7" t="str">
        <x:v>Optimize existing page</x:v>
      </x:c>
      <x:c r="M265" s="7" t="str">
        <x:v>Product / category</x:v>
      </x:c>
      <x:c r="N265" s="7" t="n">
        <x:v>5</x:v>
      </x:c>
      <x:c r="O265" s="7" t="n">
        <x:f>IF(B265&gt;=1000,5,IF(B265&gt;=300,4,IF(B265&gt;=100,3,IF(B265&gt;=30,2,IF(B265&gt;=10,1,0)))))</x:f>
        <x:v>0</x:v>
      </x:c>
      <x:c r="P265" s="7" t="n">
        <x:f>IF(C265&gt;=5,4,IF(C265&gt;=2,3,IF(C265&gt;=1,2,IF(C265&gt;0,1,0))))</x:f>
        <x:v>0</x:v>
      </x:c>
      <x:c r="Q265" s="7" t="n">
        <x:f>N265*2+O265+P265+IF(F265&gt;=0.2,1,0)+IF(K265="Gap",2,0)-IF(I265&lt;=2,5,0)</x:f>
        <x:v>10</x:v>
      </x:c>
      <x:c r="R265" s="7" t="str">
        <x:f>IF(I265&lt;=2,"D",IF(Q265&gt;=15,"A",IF(Q265&gt;=11,"B",IF(Q265&gt;=7,"C","D"))))</x:f>
        <x:v>C</x:v>
      </x:c>
      <x:c r="S265" s="12" t="n">
        <x:f>B265*'Dashboard'!$B$11</x:f>
        <x:v>0</x:v>
      </x:c>
      <x:c r="T265" s="10" t="n">
        <x:f>S265*'Dashboard'!$D$11</x:f>
        <x:v>0</x:v>
      </x:c>
      <x:c r="U265" s="7" t="str">
        <x:v>Low-volume commercial long tail; retain only when real supply evidence is available.</x:v>
      </x:c>
    </x:row>
    <x:row r="266" ht="19" customHeight="1">
      <x:c r="A266" s="7" t="str">
        <x:v>m1d equivalent</x:v>
      </x:c>
      <x:c r="B266" s="8" t="n">
        <x:v>0</x:v>
      </x:c>
      <x:c r="C266" s="9" t="n">
        <x:v>0</x:v>
      </x:c>
      <x:c r="D266" s="10" t="n">
        <x:v>0</x:v>
      </x:c>
      <x:c r="E266" s="8" t="n">
        <x:v>0</x:v>
      </x:c>
      <x:c r="F266" s="11" t="n">
        <x:v>0</x:v>
      </x:c>
      <x:c r="G266" s="7" t="str">
        <x:v>Commercial</x:v>
      </x:c>
      <x:c r="H266" s="7" t="str">
        <x:v>Replacement &amp; Cross-reference</x:v>
      </x:c>
      <x:c r="I266" s="7" t="n">
        <x:v>5</x:v>
      </x:c>
      <x:c r="J266" s="7" t="str">
        <x:v>/series/m1d/</x:v>
      </x:c>
      <x:c r="K266" s="7" t="str">
        <x:v>Covered</x:v>
      </x:c>
      <x:c r="L266" s="7" t="str">
        <x:v>Optimize existing page</x:v>
      </x:c>
      <x:c r="M266" s="7" t="str">
        <x:v>Series hub</x:v>
      </x:c>
      <x:c r="N266" s="7" t="n">
        <x:v>5</x:v>
      </x:c>
      <x:c r="O266" s="7" t="n">
        <x:f>IF(B266&gt;=1000,5,IF(B266&gt;=300,4,IF(B266&gt;=100,3,IF(B266&gt;=30,2,IF(B266&gt;=10,1,0)))))</x:f>
        <x:v>0</x:v>
      </x:c>
      <x:c r="P266" s="7" t="n">
        <x:f>IF(C266&gt;=5,4,IF(C266&gt;=2,3,IF(C266&gt;=1,2,IF(C266&gt;0,1,0))))</x:f>
        <x:v>0</x:v>
      </x:c>
      <x:c r="Q266" s="7" t="n">
        <x:f>N266*2+O266+P266+IF(F266&gt;=0.2,1,0)+IF(K266="Gap",2,0)-IF(I266&lt;=2,5,0)</x:f>
        <x:v>10</x:v>
      </x:c>
      <x:c r="R266" s="7" t="str">
        <x:f>IF(I266&lt;=2,"D",IF(Q266&gt;=15,"A",IF(Q266&gt;=11,"B",IF(Q266&gt;=7,"C","D"))))</x:f>
        <x:v>C</x:v>
      </x:c>
      <x:c r="S266" s="12" t="n">
        <x:f>B266*'Dashboard'!$B$11</x:f>
        <x:v>0</x:v>
      </x:c>
      <x:c r="T266" s="10" t="n">
        <x:f>S266*'Dashboard'!$D$11</x:f>
        <x:v>0</x:v>
      </x:c>
      <x:c r="U266" s="7" t="str">
        <x:v>Low-volume commercial long tail; retain only when real supply evidence is available.</x:v>
      </x:c>
    </x:row>
    <x:row r="267" ht="19" customHeight="1">
      <x:c r="A267" s="7" t="str">
        <x:v>m1d replacement</x:v>
      </x:c>
      <x:c r="B267" s="8" t="n">
        <x:v>0</x:v>
      </x:c>
      <x:c r="C267" s="9" t="n">
        <x:v>0</x:v>
      </x:c>
      <x:c r="D267" s="10" t="n">
        <x:v>0</x:v>
      </x:c>
      <x:c r="E267" s="8" t="n">
        <x:v>0</x:v>
      </x:c>
      <x:c r="F267" s="11" t="n">
        <x:v>0</x:v>
      </x:c>
      <x:c r="G267" s="7" t="str">
        <x:v>Commercial</x:v>
      </x:c>
      <x:c r="H267" s="7" t="str">
        <x:v>Replacement &amp; Cross-reference</x:v>
      </x:c>
      <x:c r="I267" s="7" t="n">
        <x:v>5</x:v>
      </x:c>
      <x:c r="J267" s="7" t="str">
        <x:v>/series/m1d/</x:v>
      </x:c>
      <x:c r="K267" s="7" t="str">
        <x:v>Covered</x:v>
      </x:c>
      <x:c r="L267" s="7" t="str">
        <x:v>Optimize existing page</x:v>
      </x:c>
      <x:c r="M267" s="7" t="str">
        <x:v>Series hub</x:v>
      </x:c>
      <x:c r="N267" s="7" t="n">
        <x:v>5</x:v>
      </x:c>
      <x:c r="O267" s="7" t="n">
        <x:f>IF(B267&gt;=1000,5,IF(B267&gt;=300,4,IF(B267&gt;=100,3,IF(B267&gt;=30,2,IF(B267&gt;=10,1,0)))))</x:f>
        <x:v>0</x:v>
      </x:c>
      <x:c r="P267" s="7" t="n">
        <x:f>IF(C267&gt;=5,4,IF(C267&gt;=2,3,IF(C267&gt;=1,2,IF(C267&gt;0,1,0))))</x:f>
        <x:v>0</x:v>
      </x:c>
      <x:c r="Q267" s="7" t="n">
        <x:f>N267*2+O267+P267+IF(F267&gt;=0.2,1,0)+IF(K267="Gap",2,0)-IF(I267&lt;=2,5,0)</x:f>
        <x:v>10</x:v>
      </x:c>
      <x:c r="R267" s="7" t="str">
        <x:f>IF(I267&lt;=2,"D",IF(Q267&gt;=15,"A",IF(Q267&gt;=11,"B",IF(Q267&gt;=7,"C","D"))))</x:f>
        <x:v>C</x:v>
      </x:c>
      <x:c r="S267" s="12" t="n">
        <x:f>B267*'Dashboard'!$B$11</x:f>
        <x:v>0</x:v>
      </x:c>
      <x:c r="T267" s="10" t="n">
        <x:f>S267*'Dashboard'!$D$11</x:f>
        <x:v>0</x:v>
      </x:c>
      <x:c r="U267" s="7" t="str">
        <x:v>Low-volume commercial long tail; retain only when real supply evidence is available.</x:v>
      </x:c>
    </x:row>
    <x:row r="268" ht="19" customHeight="1">
      <x:c r="A268" s="7" t="str">
        <x:v>m1d seal kit</x:v>
      </x:c>
      <x:c r="B268" s="8" t="n">
        <x:v>0</x:v>
      </x:c>
      <x:c r="C268" s="9" t="n">
        <x:v>0</x:v>
      </x:c>
      <x:c r="D268" s="10" t="n">
        <x:v>0</x:v>
      </x:c>
      <x:c r="E268" s="8" t="n">
        <x:v>0</x:v>
      </x:c>
      <x:c r="F268" s="11" t="n">
        <x:v>0</x:v>
      </x:c>
      <x:c r="G268" s="7" t="str">
        <x:v>Commercial</x:v>
      </x:c>
      <x:c r="H268" s="7" t="str">
        <x:v>Repair Kits &amp; Service Parts</x:v>
      </x:c>
      <x:c r="I268" s="7" t="n">
        <x:v>5</x:v>
      </x:c>
      <x:c r="J268" s="7" t="str">
        <x:v>/series/m1d/</x:v>
      </x:c>
      <x:c r="K268" s="7" t="str">
        <x:v>Covered</x:v>
      </x:c>
      <x:c r="L268" s="7" t="str">
        <x:v>Optimize existing page</x:v>
      </x:c>
      <x:c r="M268" s="7" t="str">
        <x:v>Series hub</x:v>
      </x:c>
      <x:c r="N268" s="7" t="n">
        <x:v>5</x:v>
      </x:c>
      <x:c r="O268" s="7" t="n">
        <x:f>IF(B268&gt;=1000,5,IF(B268&gt;=300,4,IF(B268&gt;=100,3,IF(B268&gt;=30,2,IF(B268&gt;=10,1,0)))))</x:f>
        <x:v>0</x:v>
      </x:c>
      <x:c r="P268" s="7" t="n">
        <x:f>IF(C268&gt;=5,4,IF(C268&gt;=2,3,IF(C268&gt;=1,2,IF(C268&gt;0,1,0))))</x:f>
        <x:v>0</x:v>
      </x:c>
      <x:c r="Q268" s="7" t="n">
        <x:f>N268*2+O268+P268+IF(F268&gt;=0.2,1,0)+IF(K268="Gap",2,0)-IF(I268&lt;=2,5,0)</x:f>
        <x:v>10</x:v>
      </x:c>
      <x:c r="R268" s="7" t="str">
        <x:f>IF(I268&lt;=2,"D",IF(Q268&gt;=15,"A",IF(Q268&gt;=11,"B",IF(Q268&gt;=7,"C","D"))))</x:f>
        <x:v>C</x:v>
      </x:c>
      <x:c r="S268" s="12" t="n">
        <x:f>B268*'Dashboard'!$B$11</x:f>
        <x:v>0</x:v>
      </x:c>
      <x:c r="T268" s="10" t="n">
        <x:f>S268*'Dashboard'!$D$11</x:f>
        <x:v>0</x:v>
      </x:c>
      <x:c r="U268" s="7" t="str">
        <x:v>Low-volume commercial long tail; retain only when real supply evidence is available.</x:v>
      </x:c>
    </x:row>
    <x:row r="269" ht="19" customHeight="1">
      <x:c r="A269" s="7" t="str">
        <x:v>m1d supplier</x:v>
      </x:c>
      <x:c r="B269" s="8" t="n">
        <x:v>0</x:v>
      </x:c>
      <x:c r="C269" s="9" t="n">
        <x:v>0</x:v>
      </x:c>
      <x:c r="D269" s="10" t="n">
        <x:v>0</x:v>
      </x:c>
      <x:c r="E269" s="8" t="n">
        <x:v>0</x:v>
      </x:c>
      <x:c r="F269" s="11" t="n">
        <x:v>0</x:v>
      </x:c>
      <x:c r="G269" s="7" t="str">
        <x:v>Transactional</x:v>
      </x:c>
      <x:c r="H269" s="7" t="str">
        <x:v>Hydraulic Motors</x:v>
      </x:c>
      <x:c r="I269" s="7" t="n">
        <x:v>5</x:v>
      </x:c>
      <x:c r="J269" s="7" t="str">
        <x:v>/series/m1d/</x:v>
      </x:c>
      <x:c r="K269" s="7" t="str">
        <x:v>Covered</x:v>
      </x:c>
      <x:c r="L269" s="7" t="str">
        <x:v>Optimize existing page</x:v>
      </x:c>
      <x:c r="M269" s="7" t="str">
        <x:v>Series hub</x:v>
      </x:c>
      <x:c r="N269" s="7" t="n">
        <x:v>5</x:v>
      </x:c>
      <x:c r="O269" s="7" t="n">
        <x:f>IF(B269&gt;=1000,5,IF(B269&gt;=300,4,IF(B269&gt;=100,3,IF(B269&gt;=30,2,IF(B269&gt;=10,1,0)))))</x:f>
        <x:v>0</x:v>
      </x:c>
      <x:c r="P269" s="7" t="n">
        <x:f>IF(C269&gt;=5,4,IF(C269&gt;=2,3,IF(C269&gt;=1,2,IF(C269&gt;0,1,0))))</x:f>
        <x:v>0</x:v>
      </x:c>
      <x:c r="Q269" s="7" t="n">
        <x:f>N269*2+O269+P269+IF(F269&gt;=0.2,1,0)+IF(K269="Gap",2,0)-IF(I269&lt;=2,5,0)</x:f>
        <x:v>10</x:v>
      </x:c>
      <x:c r="R269" s="7" t="str">
        <x:f>IF(I269&lt;=2,"D",IF(Q269&gt;=15,"A",IF(Q269&gt;=11,"B",IF(Q269&gt;=7,"C","D"))))</x:f>
        <x:v>C</x:v>
      </x:c>
      <x:c r="S269" s="12" t="n">
        <x:f>B269*'Dashboard'!$B$11</x:f>
        <x:v>0</x:v>
      </x:c>
      <x:c r="T269" s="10" t="n">
        <x:f>S269*'Dashboard'!$D$11</x:f>
        <x:v>0</x:v>
      </x:c>
      <x:c r="U269" s="7" t="str">
        <x:v>Low-volume commercial long tail; retain only when real supply evidence is available.</x:v>
      </x:c>
    </x:row>
    <x:row r="270" ht="19" customHeight="1">
      <x:c r="A270" s="7" t="str">
        <x:v>mcr equivalent</x:v>
      </x:c>
      <x:c r="B270" s="8" t="n">
        <x:v>0</x:v>
      </x:c>
      <x:c r="C270" s="9" t="n">
        <x:v>0</x:v>
      </x:c>
      <x:c r="D270" s="10" t="n">
        <x:v>0</x:v>
      </x:c>
      <x:c r="E270" s="8" t="n">
        <x:v>0</x:v>
      </x:c>
      <x:c r="F270" s="11" t="n">
        <x:v>0</x:v>
      </x:c>
      <x:c r="G270" s="7" t="str">
        <x:v>Commercial</x:v>
      </x:c>
      <x:c r="H270" s="7" t="str">
        <x:v>Replacement &amp; Cross-reference</x:v>
      </x:c>
      <x:c r="I270" s="7" t="n">
        <x:v>5</x:v>
      </x:c>
      <x:c r="J270" s="7" t="str">
        <x:v>/series/mcr/</x:v>
      </x:c>
      <x:c r="K270" s="7" t="str">
        <x:v>Covered</x:v>
      </x:c>
      <x:c r="L270" s="7" t="str">
        <x:v>Optimize existing page</x:v>
      </x:c>
      <x:c r="M270" s="7" t="str">
        <x:v>Series hub</x:v>
      </x:c>
      <x:c r="N270" s="7" t="n">
        <x:v>5</x:v>
      </x:c>
      <x:c r="O270" s="7" t="n">
        <x:f>IF(B270&gt;=1000,5,IF(B270&gt;=300,4,IF(B270&gt;=100,3,IF(B270&gt;=30,2,IF(B270&gt;=10,1,0)))))</x:f>
        <x:v>0</x:v>
      </x:c>
      <x:c r="P270" s="7" t="n">
        <x:f>IF(C270&gt;=5,4,IF(C270&gt;=2,3,IF(C270&gt;=1,2,IF(C270&gt;0,1,0))))</x:f>
        <x:v>0</x:v>
      </x:c>
      <x:c r="Q270" s="7" t="n">
        <x:f>N270*2+O270+P270+IF(F270&gt;=0.2,1,0)+IF(K270="Gap",2,0)-IF(I270&lt;=2,5,0)</x:f>
        <x:v>10</x:v>
      </x:c>
      <x:c r="R270" s="7" t="str">
        <x:f>IF(I270&lt;=2,"D",IF(Q270&gt;=15,"A",IF(Q270&gt;=11,"B",IF(Q270&gt;=7,"C","D"))))</x:f>
        <x:v>C</x:v>
      </x:c>
      <x:c r="S270" s="12" t="n">
        <x:f>B270*'Dashboard'!$B$11</x:f>
        <x:v>0</x:v>
      </x:c>
      <x:c r="T270" s="10" t="n">
        <x:f>S270*'Dashboard'!$D$11</x:f>
        <x:v>0</x:v>
      </x:c>
      <x:c r="U270" s="7" t="str">
        <x:v>Low-volume commercial long tail; retain only when real supply evidence is available.</x:v>
      </x:c>
    </x:row>
    <x:row r="271" ht="19" customHeight="1">
      <x:c r="A271" s="7" t="str">
        <x:v>mcr seal kit</x:v>
      </x:c>
      <x:c r="B271" s="8" t="n">
        <x:v>0</x:v>
      </x:c>
      <x:c r="C271" s="9" t="n">
        <x:v>0</x:v>
      </x:c>
      <x:c r="D271" s="10" t="n">
        <x:v>0</x:v>
      </x:c>
      <x:c r="E271" s="8" t="n">
        <x:v>0</x:v>
      </x:c>
      <x:c r="F271" s="11" t="n">
        <x:v>0</x:v>
      </x:c>
      <x:c r="G271" s="7" t="str">
        <x:v>Commercial</x:v>
      </x:c>
      <x:c r="H271" s="7" t="str">
        <x:v>Repair Kits &amp; Service Parts</x:v>
      </x:c>
      <x:c r="I271" s="7" t="n">
        <x:v>5</x:v>
      </x:c>
      <x:c r="J271" s="7" t="str">
        <x:v>/series/mcr/</x:v>
      </x:c>
      <x:c r="K271" s="7" t="str">
        <x:v>Covered</x:v>
      </x:c>
      <x:c r="L271" s="7" t="str">
        <x:v>Optimize existing page</x:v>
      </x:c>
      <x:c r="M271" s="7" t="str">
        <x:v>Series hub</x:v>
      </x:c>
      <x:c r="N271" s="7" t="n">
        <x:v>5</x:v>
      </x:c>
      <x:c r="O271" s="7" t="n">
        <x:f>IF(B271&gt;=1000,5,IF(B271&gt;=300,4,IF(B271&gt;=100,3,IF(B271&gt;=30,2,IF(B271&gt;=10,1,0)))))</x:f>
        <x:v>0</x:v>
      </x:c>
      <x:c r="P271" s="7" t="n">
        <x:f>IF(C271&gt;=5,4,IF(C271&gt;=2,3,IF(C271&gt;=1,2,IF(C271&gt;0,1,0))))</x:f>
        <x:v>0</x:v>
      </x:c>
      <x:c r="Q271" s="7" t="n">
        <x:f>N271*2+O271+P271+IF(F271&gt;=0.2,1,0)+IF(K271="Gap",2,0)-IF(I271&lt;=2,5,0)</x:f>
        <x:v>10</x:v>
      </x:c>
      <x:c r="R271" s="7" t="str">
        <x:f>IF(I271&lt;=2,"D",IF(Q271&gt;=15,"A",IF(Q271&gt;=11,"B",IF(Q271&gt;=7,"C","D"))))</x:f>
        <x:v>C</x:v>
      </x:c>
      <x:c r="S271" s="12" t="n">
        <x:f>B271*'Dashboard'!$B$11</x:f>
        <x:v>0</x:v>
      </x:c>
      <x:c r="T271" s="10" t="n">
        <x:f>S271*'Dashboard'!$D$11</x:f>
        <x:v>0</x:v>
      </x:c>
      <x:c r="U271" s="7" t="str">
        <x:v>Low-volume commercial long tail; retain only when real supply evidence is available.</x:v>
      </x:c>
    </x:row>
    <x:row r="272" ht="19" customHeight="1">
      <x:c r="A272" s="7" t="str">
        <x:v>mcr supplier</x:v>
      </x:c>
      <x:c r="B272" s="8" t="n">
        <x:v>0</x:v>
      </x:c>
      <x:c r="C272" s="9" t="n">
        <x:v>0</x:v>
      </x:c>
      <x:c r="D272" s="10" t="n">
        <x:v>0</x:v>
      </x:c>
      <x:c r="E272" s="8" t="n">
        <x:v>0</x:v>
      </x:c>
      <x:c r="F272" s="11" t="n">
        <x:v>0</x:v>
      </x:c>
      <x:c r="G272" s="7" t="str">
        <x:v>Transactional</x:v>
      </x:c>
      <x:c r="H272" s="7" t="str">
        <x:v>Hydraulic Motors</x:v>
      </x:c>
      <x:c r="I272" s="7" t="n">
        <x:v>5</x:v>
      </x:c>
      <x:c r="J272" s="7" t="str">
        <x:v>/series/mcr/</x:v>
      </x:c>
      <x:c r="K272" s="7" t="str">
        <x:v>Covered</x:v>
      </x:c>
      <x:c r="L272" s="7" t="str">
        <x:v>Optimize existing page</x:v>
      </x:c>
      <x:c r="M272" s="7" t="str">
        <x:v>Series hub</x:v>
      </x:c>
      <x:c r="N272" s="7" t="n">
        <x:v>5</x:v>
      </x:c>
      <x:c r="O272" s="7" t="n">
        <x:f>IF(B272&gt;=1000,5,IF(B272&gt;=300,4,IF(B272&gt;=100,3,IF(B272&gt;=30,2,IF(B272&gt;=10,1,0)))))</x:f>
        <x:v>0</x:v>
      </x:c>
      <x:c r="P272" s="7" t="n">
        <x:f>IF(C272&gt;=5,4,IF(C272&gt;=2,3,IF(C272&gt;=1,2,IF(C272&gt;0,1,0))))</x:f>
        <x:v>0</x:v>
      </x:c>
      <x:c r="Q272" s="7" t="n">
        <x:f>N272*2+O272+P272+IF(F272&gt;=0.2,1,0)+IF(K272="Gap",2,0)-IF(I272&lt;=2,5,0)</x:f>
        <x:v>10</x:v>
      </x:c>
      <x:c r="R272" s="7" t="str">
        <x:f>IF(I272&lt;=2,"D",IF(Q272&gt;=15,"A",IF(Q272&gt;=11,"B",IF(Q272&gt;=7,"C","D"))))</x:f>
        <x:v>C</x:v>
      </x:c>
      <x:c r="S272" s="12" t="n">
        <x:f>B272*'Dashboard'!$B$11</x:f>
        <x:v>0</x:v>
      </x:c>
      <x:c r="T272" s="10" t="n">
        <x:f>S272*'Dashboard'!$D$11</x:f>
        <x:v>0</x:v>
      </x:c>
      <x:c r="U272" s="7" t="str">
        <x:v>Low-volume commercial long tail; retain only when real supply evidence is available.</x:v>
      </x:c>
    </x:row>
    <x:row r="273" ht="19" customHeight="1">
      <x:c r="A273" s="7" t="str">
        <x:v>mcr03 replacement</x:v>
      </x:c>
      <x:c r="B273" s="8" t="n">
        <x:v>0</x:v>
      </x:c>
      <x:c r="C273" s="9" t="n">
        <x:v>0</x:v>
      </x:c>
      <x:c r="D273" s="10" t="n">
        <x:v>0</x:v>
      </x:c>
      <x:c r="E273" s="8" t="n">
        <x:v>0</x:v>
      </x:c>
      <x:c r="F273" s="11" t="n">
        <x:v>0</x:v>
      </x:c>
      <x:c r="G273" s="7" t="str">
        <x:v>Commercial</x:v>
      </x:c>
      <x:c r="H273" s="7" t="str">
        <x:v>Replacement &amp; Cross-reference</x:v>
      </x:c>
      <x:c r="I273" s="7" t="n">
        <x:v>5</x:v>
      </x:c>
      <x:c r="J273" s="7" t="str">
        <x:v>/models/poclain-mcr03-seal-kit/</x:v>
      </x:c>
      <x:c r="K273" s="7" t="str">
        <x:v>Covered</x:v>
      </x:c>
      <x:c r="L273" s="7" t="str">
        <x:v>Optimize existing page</x:v>
      </x:c>
      <x:c r="M273" s="7" t="str">
        <x:v>Model record</x:v>
      </x:c>
      <x:c r="N273" s="7" t="n">
        <x:v>5</x:v>
      </x:c>
      <x:c r="O273" s="7" t="n">
        <x:f>IF(B273&gt;=1000,5,IF(B273&gt;=300,4,IF(B273&gt;=100,3,IF(B273&gt;=30,2,IF(B273&gt;=10,1,0)))))</x:f>
        <x:v>0</x:v>
      </x:c>
      <x:c r="P273" s="7" t="n">
        <x:f>IF(C273&gt;=5,4,IF(C273&gt;=2,3,IF(C273&gt;=1,2,IF(C273&gt;0,1,0))))</x:f>
        <x:v>0</x:v>
      </x:c>
      <x:c r="Q273" s="7" t="n">
        <x:f>N273*2+O273+P273+IF(F273&gt;=0.2,1,0)+IF(K273="Gap",2,0)-IF(I273&lt;=2,5,0)</x:f>
        <x:v>10</x:v>
      </x:c>
      <x:c r="R273" s="7" t="str">
        <x:f>IF(I273&lt;=2,"D",IF(Q273&gt;=15,"A",IF(Q273&gt;=11,"B",IF(Q273&gt;=7,"C","D"))))</x:f>
        <x:v>C</x:v>
      </x:c>
      <x:c r="S273" s="12" t="n">
        <x:f>B273*'Dashboard'!$B$11</x:f>
        <x:v>0</x:v>
      </x:c>
      <x:c r="T273" s="10" t="n">
        <x:f>S273*'Dashboard'!$D$11</x:f>
        <x:v>0</x:v>
      </x:c>
      <x:c r="U273" s="7" t="str">
        <x:v>Low-volume commercial long tail; retain only when real supply evidence is available.</x:v>
      </x:c>
    </x:row>
    <x:row r="274" ht="19" customHeight="1">
      <x:c r="A274" s="7" t="str">
        <x:v>mcr03 seal kit</x:v>
      </x:c>
      <x:c r="B274" s="8" t="n">
        <x:v>0</x:v>
      </x:c>
      <x:c r="C274" s="9" t="n">
        <x:v>0</x:v>
      </x:c>
      <x:c r="D274" s="10" t="n">
        <x:v>0</x:v>
      </x:c>
      <x:c r="E274" s="8" t="n">
        <x:v>0</x:v>
      </x:c>
      <x:c r="F274" s="11" t="n">
        <x:v>0</x:v>
      </x:c>
      <x:c r="G274" s="7" t="str">
        <x:v>Commercial</x:v>
      </x:c>
      <x:c r="H274" s="7" t="str">
        <x:v>Repair Kits &amp; Service Parts</x:v>
      </x:c>
      <x:c r="I274" s="7" t="n">
        <x:v>5</x:v>
      </x:c>
      <x:c r="J274" s="7" t="str">
        <x:v>/models/poclain-mcr03-seal-kit/</x:v>
      </x:c>
      <x:c r="K274" s="7" t="str">
        <x:v>Covered</x:v>
      </x:c>
      <x:c r="L274" s="7" t="str">
        <x:v>Optimize existing page</x:v>
      </x:c>
      <x:c r="M274" s="7" t="str">
        <x:v>Model record</x:v>
      </x:c>
      <x:c r="N274" s="7" t="n">
        <x:v>5</x:v>
      </x:c>
      <x:c r="O274" s="7" t="n">
        <x:f>IF(B274&gt;=1000,5,IF(B274&gt;=300,4,IF(B274&gt;=100,3,IF(B274&gt;=30,2,IF(B274&gt;=10,1,0)))))</x:f>
        <x:v>0</x:v>
      </x:c>
      <x:c r="P274" s="7" t="n">
        <x:f>IF(C274&gt;=5,4,IF(C274&gt;=2,3,IF(C274&gt;=1,2,IF(C274&gt;0,1,0))))</x:f>
        <x:v>0</x:v>
      </x:c>
      <x:c r="Q274" s="7" t="n">
        <x:f>N274*2+O274+P274+IF(F274&gt;=0.2,1,0)+IF(K274="Gap",2,0)-IF(I274&lt;=2,5,0)</x:f>
        <x:v>10</x:v>
      </x:c>
      <x:c r="R274" s="7" t="str">
        <x:f>IF(I274&lt;=2,"D",IF(Q274&gt;=15,"A",IF(Q274&gt;=11,"B",IF(Q274&gt;=7,"C","D"))))</x:f>
        <x:v>C</x:v>
      </x:c>
      <x:c r="S274" s="12" t="n">
        <x:f>B274*'Dashboard'!$B$11</x:f>
        <x:v>0</x:v>
      </x:c>
      <x:c r="T274" s="10" t="n">
        <x:f>S274*'Dashboard'!$D$11</x:f>
        <x:v>0</x:v>
      </x:c>
      <x:c r="U274" s="7" t="str">
        <x:v>Low-volume commercial long tail; retain only when real supply evidence is available.</x:v>
      </x:c>
    </x:row>
    <x:row r="275" ht="19" customHeight="1">
      <x:c r="A275" s="7" t="str">
        <x:v>mcr03 supplier</x:v>
      </x:c>
      <x:c r="B275" s="8" t="n">
        <x:v>0</x:v>
      </x:c>
      <x:c r="C275" s="9" t="n">
        <x:v>0</x:v>
      </x:c>
      <x:c r="D275" s="10" t="n">
        <x:v>0</x:v>
      </x:c>
      <x:c r="E275" s="8" t="n">
        <x:v>0</x:v>
      </x:c>
      <x:c r="F275" s="11" t="n">
        <x:v>0</x:v>
      </x:c>
      <x:c r="G275" s="7" t="str">
        <x:v>Transactional</x:v>
      </x:c>
      <x:c r="H275" s="7" t="str">
        <x:v>Technical / Other</x:v>
      </x:c>
      <x:c r="I275" s="7" t="n">
        <x:v>5</x:v>
      </x:c>
      <x:c r="J275" s="7" t="str">
        <x:v>/models/poclain-mcr03-seal-kit/</x:v>
      </x:c>
      <x:c r="K275" s="7" t="str">
        <x:v>Covered</x:v>
      </x:c>
      <x:c r="L275" s="7" t="str">
        <x:v>Optimize existing page</x:v>
      </x:c>
      <x:c r="M275" s="7" t="str">
        <x:v>Model record</x:v>
      </x:c>
      <x:c r="N275" s="7" t="n">
        <x:v>5</x:v>
      </x:c>
      <x:c r="O275" s="7" t="n">
        <x:f>IF(B275&gt;=1000,5,IF(B275&gt;=300,4,IF(B275&gt;=100,3,IF(B275&gt;=30,2,IF(B275&gt;=10,1,0)))))</x:f>
        <x:v>0</x:v>
      </x:c>
      <x:c r="P275" s="7" t="n">
        <x:f>IF(C275&gt;=5,4,IF(C275&gt;=2,3,IF(C275&gt;=1,2,IF(C275&gt;0,1,0))))</x:f>
        <x:v>0</x:v>
      </x:c>
      <x:c r="Q275" s="7" t="n">
        <x:f>N275*2+O275+P275+IF(F275&gt;=0.2,1,0)+IF(K275="Gap",2,0)-IF(I275&lt;=2,5,0)</x:f>
        <x:v>10</x:v>
      </x:c>
      <x:c r="R275" s="7" t="str">
        <x:f>IF(I275&lt;=2,"D",IF(Q275&gt;=15,"A",IF(Q275&gt;=11,"B",IF(Q275&gt;=7,"C","D"))))</x:f>
        <x:v>C</x:v>
      </x:c>
      <x:c r="S275" s="12" t="n">
        <x:f>B275*'Dashboard'!$B$11</x:f>
        <x:v>0</x:v>
      </x:c>
      <x:c r="T275" s="10" t="n">
        <x:f>S275*'Dashboard'!$D$11</x:f>
        <x:v>0</x:v>
      </x:c>
      <x:c r="U275" s="7" t="str">
        <x:v>Low-volume commercial long tail; retain only when real supply evidence is available.</x:v>
      </x:c>
    </x:row>
    <x:row r="276" ht="19" customHeight="1">
      <x:c r="A276" s="7" t="str">
        <x:v>modular hydraulic valve aftermarket</x:v>
      </x:c>
      <x:c r="B276" s="8" t="n">
        <x:v>0</x:v>
      </x:c>
      <x:c r="C276" s="9" t="n">
        <x:v>0</x:v>
      </x:c>
      <x:c r="D276" s="10" t="n">
        <x:v>0</x:v>
      </x:c>
      <x:c r="E276" s="8" t="n">
        <x:v>0</x:v>
      </x:c>
      <x:c r="F276" s="11" t="n">
        <x:v>0</x:v>
      </x:c>
      <x:c r="G276" s="7" t="str">
        <x:v>Commercial</x:v>
      </x:c>
      <x:c r="H276" s="7" t="str">
        <x:v>Replacement &amp; Cross-reference</x:v>
      </x:c>
      <x:c r="I276" s="7" t="n">
        <x:v>5</x:v>
      </x:c>
      <x:c r="J276" s="7" t="str">
        <x:v>/products/hydraulic-valves/modular-valves/</x:v>
      </x:c>
      <x:c r="K276" s="7" t="str">
        <x:v>Covered</x:v>
      </x:c>
      <x:c r="L276" s="7" t="str">
        <x:v>Optimize existing page</x:v>
      </x:c>
      <x:c r="M276" s="7" t="str">
        <x:v>Alternative / cross-reference</x:v>
      </x:c>
      <x:c r="N276" s="7" t="n">
        <x:v>5</x:v>
      </x:c>
      <x:c r="O276" s="7" t="n">
        <x:f>IF(B276&gt;=1000,5,IF(B276&gt;=300,4,IF(B276&gt;=100,3,IF(B276&gt;=30,2,IF(B276&gt;=10,1,0)))))</x:f>
        <x:v>0</x:v>
      </x:c>
      <x:c r="P276" s="7" t="n">
        <x:f>IF(C276&gt;=5,4,IF(C276&gt;=2,3,IF(C276&gt;=1,2,IF(C276&gt;0,1,0))))</x:f>
        <x:v>0</x:v>
      </x:c>
      <x:c r="Q276" s="7" t="n">
        <x:f>N276*2+O276+P276+IF(F276&gt;=0.2,1,0)+IF(K276="Gap",2,0)-IF(I276&lt;=2,5,0)</x:f>
        <x:v>10</x:v>
      </x:c>
      <x:c r="R276" s="7" t="str">
        <x:f>IF(I276&lt;=2,"D",IF(Q276&gt;=15,"A",IF(Q276&gt;=11,"B",IF(Q276&gt;=7,"C","D"))))</x:f>
        <x:v>C</x:v>
      </x:c>
      <x:c r="S276" s="12" t="n">
        <x:f>B276*'Dashboard'!$B$11</x:f>
        <x:v>0</x:v>
      </x:c>
      <x:c r="T276" s="10" t="n">
        <x:f>S276*'Dashboard'!$D$11</x:f>
        <x:v>0</x:v>
      </x:c>
      <x:c r="U276" s="7" t="str">
        <x:v>Low-volume commercial long tail; retain only when real supply evidence is available.</x:v>
      </x:c>
    </x:row>
    <x:row r="277" ht="19" customHeight="1">
      <x:c r="A277" s="7" t="str">
        <x:v>modular hydraulic valve in stock</x:v>
      </x:c>
      <x:c r="B277" s="8" t="n">
        <x:v>0</x:v>
      </x:c>
      <x:c r="C277" s="9" t="n">
        <x:v>0</x:v>
      </x:c>
      <x:c r="D277" s="10" t="n">
        <x:v>0</x:v>
      </x:c>
      <x:c r="E277" s="8" t="n">
        <x:v>0</x:v>
      </x:c>
      <x:c r="F277" s="11" t="n">
        <x:v>0</x:v>
      </x:c>
      <x:c r="G277" s="7" t="str">
        <x:v>Transactional</x:v>
      </x:c>
      <x:c r="H277" s="7" t="str">
        <x:v>Hydraulic Valves</x:v>
      </x:c>
      <x:c r="I277" s="7" t="n">
        <x:v>5</x:v>
      </x:c>
      <x:c r="J277" s="7" t="str">
        <x:v>/products/hydraulic-valves/modular-valves/</x:v>
      </x:c>
      <x:c r="K277" s="7" t="str">
        <x:v>Covered</x:v>
      </x:c>
      <x:c r="L277" s="7" t="str">
        <x:v>Optimize existing page</x:v>
      </x:c>
      <x:c r="M277" s="7" t="str">
        <x:v>Product / category</x:v>
      </x:c>
      <x:c r="N277" s="7" t="n">
        <x:v>5</x:v>
      </x:c>
      <x:c r="O277" s="7" t="n">
        <x:f>IF(B277&gt;=1000,5,IF(B277&gt;=300,4,IF(B277&gt;=100,3,IF(B277&gt;=30,2,IF(B277&gt;=10,1,0)))))</x:f>
        <x:v>0</x:v>
      </x:c>
      <x:c r="P277" s="7" t="n">
        <x:f>IF(C277&gt;=5,4,IF(C277&gt;=2,3,IF(C277&gt;=1,2,IF(C277&gt;0,1,0))))</x:f>
        <x:v>0</x:v>
      </x:c>
      <x:c r="Q277" s="7" t="n">
        <x:f>N277*2+O277+P277+IF(F277&gt;=0.2,1,0)+IF(K277="Gap",2,0)-IF(I277&lt;=2,5,0)</x:f>
        <x:v>10</x:v>
      </x:c>
      <x:c r="R277" s="7" t="str">
        <x:f>IF(I277&lt;=2,"D",IF(Q277&gt;=15,"A",IF(Q277&gt;=11,"B",IF(Q277&gt;=7,"C","D"))))</x:f>
        <x:v>C</x:v>
      </x:c>
      <x:c r="S277" s="12" t="n">
        <x:f>B277*'Dashboard'!$B$11</x:f>
        <x:v>0</x:v>
      </x:c>
      <x:c r="T277" s="10" t="n">
        <x:f>S277*'Dashboard'!$D$11</x:f>
        <x:v>0</x:v>
      </x:c>
      <x:c r="U277" s="7" t="str">
        <x:v>Low-volume commercial long tail; retain only when real supply evidence is available.</x:v>
      </x:c>
    </x:row>
    <x:row r="278" ht="19" customHeight="1">
      <x:c r="A278" s="7" t="str">
        <x:v>modular hydraulic valve manufacturer</x:v>
      </x:c>
      <x:c r="B278" s="8" t="n">
        <x:v>0</x:v>
      </x:c>
      <x:c r="C278" s="9" t="n">
        <x:v>0</x:v>
      </x:c>
      <x:c r="D278" s="10" t="n">
        <x:v>0</x:v>
      </x:c>
      <x:c r="E278" s="8" t="n">
        <x:v>0</x:v>
      </x:c>
      <x:c r="F278" s="11" t="n">
        <x:v>0</x:v>
      </x:c>
      <x:c r="G278" s="7" t="str">
        <x:v>Transactional</x:v>
      </x:c>
      <x:c r="H278" s="7" t="str">
        <x:v>Hydraulic Valves</x:v>
      </x:c>
      <x:c r="I278" s="7" t="n">
        <x:v>5</x:v>
      </x:c>
      <x:c r="J278" s="7" t="str">
        <x:v>/products/hydraulic-valves/modular-valves/</x:v>
      </x:c>
      <x:c r="K278" s="7" t="str">
        <x:v>Covered</x:v>
      </x:c>
      <x:c r="L278" s="7" t="str">
        <x:v>Optimize existing page</x:v>
      </x:c>
      <x:c r="M278" s="7" t="str">
        <x:v>Product / category</x:v>
      </x:c>
      <x:c r="N278" s="7" t="n">
        <x:v>5</x:v>
      </x:c>
      <x:c r="O278" s="7" t="n">
        <x:f>IF(B278&gt;=1000,5,IF(B278&gt;=300,4,IF(B278&gt;=100,3,IF(B278&gt;=30,2,IF(B278&gt;=10,1,0)))))</x:f>
        <x:v>0</x:v>
      </x:c>
      <x:c r="P278" s="7" t="n">
        <x:f>IF(C278&gt;=5,4,IF(C278&gt;=2,3,IF(C278&gt;=1,2,IF(C278&gt;0,1,0))))</x:f>
        <x:v>0</x:v>
      </x:c>
      <x:c r="Q278" s="7" t="n">
        <x:f>N278*2+O278+P278+IF(F278&gt;=0.2,1,0)+IF(K278="Gap",2,0)-IF(I278&lt;=2,5,0)</x:f>
        <x:v>10</x:v>
      </x:c>
      <x:c r="R278" s="7" t="str">
        <x:f>IF(I278&lt;=2,"D",IF(Q278&gt;=15,"A",IF(Q278&gt;=11,"B",IF(Q278&gt;=7,"C","D"))))</x:f>
        <x:v>C</x:v>
      </x:c>
      <x:c r="S278" s="12" t="n">
        <x:f>B278*'Dashboard'!$B$11</x:f>
        <x:v>0</x:v>
      </x:c>
      <x:c r="T278" s="10" t="n">
        <x:f>S278*'Dashboard'!$D$11</x:f>
        <x:v>0</x:v>
      </x:c>
      <x:c r="U278" s="7" t="str">
        <x:v>Low-volume commercial long tail; retain only when real supply evidence is available.</x:v>
      </x:c>
    </x:row>
    <x:row r="279" ht="19" customHeight="1">
      <x:c r="A279" s="7" t="str">
        <x:v>modular hydraulic valve replacement</x:v>
      </x:c>
      <x:c r="B279" s="8" t="n">
        <x:v>0</x:v>
      </x:c>
      <x:c r="C279" s="9" t="n">
        <x:v>0</x:v>
      </x:c>
      <x:c r="D279" s="10" t="n">
        <x:v>0</x:v>
      </x:c>
      <x:c r="E279" s="8" t="n">
        <x:v>0</x:v>
      </x:c>
      <x:c r="F279" s="11" t="n">
        <x:v>0</x:v>
      </x:c>
      <x:c r="G279" s="7" t="str">
        <x:v>Commercial</x:v>
      </x:c>
      <x:c r="H279" s="7" t="str">
        <x:v>Replacement &amp; Cross-reference</x:v>
      </x:c>
      <x:c r="I279" s="7" t="n">
        <x:v>5</x:v>
      </x:c>
      <x:c r="J279" s="7" t="str">
        <x:v>/products/hydraulic-valves/modular-valves/</x:v>
      </x:c>
      <x:c r="K279" s="7" t="str">
        <x:v>Covered</x:v>
      </x:c>
      <x:c r="L279" s="7" t="str">
        <x:v>Optimize existing page</x:v>
      </x:c>
      <x:c r="M279" s="7" t="str">
        <x:v>Alternative / cross-reference</x:v>
      </x:c>
      <x:c r="N279" s="7" t="n">
        <x:v>5</x:v>
      </x:c>
      <x:c r="O279" s="7" t="n">
        <x:f>IF(B279&gt;=1000,5,IF(B279&gt;=300,4,IF(B279&gt;=100,3,IF(B279&gt;=30,2,IF(B279&gt;=10,1,0)))))</x:f>
        <x:v>0</x:v>
      </x:c>
      <x:c r="P279" s="7" t="n">
        <x:f>IF(C279&gt;=5,4,IF(C279&gt;=2,3,IF(C279&gt;=1,2,IF(C279&gt;0,1,0))))</x:f>
        <x:v>0</x:v>
      </x:c>
      <x:c r="Q279" s="7" t="n">
        <x:f>N279*2+O279+P279+IF(F279&gt;=0.2,1,0)+IF(K279="Gap",2,0)-IF(I279&lt;=2,5,0)</x:f>
        <x:v>10</x:v>
      </x:c>
      <x:c r="R279" s="7" t="str">
        <x:f>IF(I279&lt;=2,"D",IF(Q279&gt;=15,"A",IF(Q279&gt;=11,"B",IF(Q279&gt;=7,"C","D"))))</x:f>
        <x:v>C</x:v>
      </x:c>
      <x:c r="S279" s="12" t="n">
        <x:f>B279*'Dashboard'!$B$11</x:f>
        <x:v>0</x:v>
      </x:c>
      <x:c r="T279" s="10" t="n">
        <x:f>S279*'Dashboard'!$D$11</x:f>
        <x:v>0</x:v>
      </x:c>
      <x:c r="U279" s="7" t="str">
        <x:v>Low-volume commercial long tail; retain only when real supply evidence is available.</x:v>
      </x:c>
    </x:row>
    <x:row r="280" ht="19" customHeight="1">
      <x:c r="A280" s="7" t="str">
        <x:v>modular hydraulic valve supplier</x:v>
      </x:c>
      <x:c r="B280" s="8" t="n">
        <x:v>0</x:v>
      </x:c>
      <x:c r="C280" s="9" t="n">
        <x:v>0</x:v>
      </x:c>
      <x:c r="D280" s="10" t="n">
        <x:v>0</x:v>
      </x:c>
      <x:c r="E280" s="8" t="n">
        <x:v>0</x:v>
      </x:c>
      <x:c r="F280" s="11" t="n">
        <x:v>0</x:v>
      </x:c>
      <x:c r="G280" s="7" t="str">
        <x:v>Transactional</x:v>
      </x:c>
      <x:c r="H280" s="7" t="str">
        <x:v>Hydraulic Valves</x:v>
      </x:c>
      <x:c r="I280" s="7" t="n">
        <x:v>5</x:v>
      </x:c>
      <x:c r="J280" s="7" t="str">
        <x:v>/products/hydraulic-valves/modular-valves/</x:v>
      </x:c>
      <x:c r="K280" s="7" t="str">
        <x:v>Covered</x:v>
      </x:c>
      <x:c r="L280" s="7" t="str">
        <x:v>Optimize existing page</x:v>
      </x:c>
      <x:c r="M280" s="7" t="str">
        <x:v>Product / category</x:v>
      </x:c>
      <x:c r="N280" s="7" t="n">
        <x:v>5</x:v>
      </x:c>
      <x:c r="O280" s="7" t="n">
        <x:f>IF(B280&gt;=1000,5,IF(B280&gt;=300,4,IF(B280&gt;=100,3,IF(B280&gt;=30,2,IF(B280&gt;=10,1,0)))))</x:f>
        <x:v>0</x:v>
      </x:c>
      <x:c r="P280" s="7" t="n">
        <x:f>IF(C280&gt;=5,4,IF(C280&gt;=2,3,IF(C280&gt;=1,2,IF(C280&gt;0,1,0))))</x:f>
        <x:v>0</x:v>
      </x:c>
      <x:c r="Q280" s="7" t="n">
        <x:f>N280*2+O280+P280+IF(F280&gt;=0.2,1,0)+IF(K280="Gap",2,0)-IF(I280&lt;=2,5,0)</x:f>
        <x:v>10</x:v>
      </x:c>
      <x:c r="R280" s="7" t="str">
        <x:f>IF(I280&lt;=2,"D",IF(Q280&gt;=15,"A",IF(Q280&gt;=11,"B",IF(Q280&gt;=7,"C","D"))))</x:f>
        <x:v>C</x:v>
      </x:c>
      <x:c r="S280" s="12" t="n">
        <x:f>B280*'Dashboard'!$B$11</x:f>
        <x:v>0</x:v>
      </x:c>
      <x:c r="T280" s="10" t="n">
        <x:f>S280*'Dashboard'!$D$11</x:f>
        <x:v>0</x:v>
      </x:c>
      <x:c r="U280" s="7" t="str">
        <x:v>Low-volume commercial long tail; retain only when real supply evidence is available.</x:v>
      </x:c>
    </x:row>
    <x:row r="281" ht="19" customHeight="1">
      <x:c r="A281" s="7" t="str">
        <x:v>obsolete hydraulic pump replacement</x:v>
      </x:c>
      <x:c r="B281" s="8" t="n">
        <x:v>0</x:v>
      </x:c>
      <x:c r="C281" s="9" t="n">
        <x:v>0</x:v>
      </x:c>
      <x:c r="D281" s="10" t="n">
        <x:v>0</x:v>
      </x:c>
      <x:c r="E281" s="8" t="n">
        <x:v>0</x:v>
      </x:c>
      <x:c r="F281" s="11" t="n">
        <x:v>0</x:v>
      </x:c>
      <x:c r="G281" s="7" t="str">
        <x:v>Commercial</x:v>
      </x:c>
      <x:c r="H281" s="7" t="str">
        <x:v>Replacement &amp; Cross-reference</x:v>
      </x:c>
      <x:c r="I281" s="7" t="n">
        <x:v>5</x:v>
      </x:c>
      <x:c r="J281" s="7" t="str">
        <x:v>/products/hydraulic-pumps/</x:v>
      </x:c>
      <x:c r="K281" s="7" t="str">
        <x:v>Covered</x:v>
      </x:c>
      <x:c r="L281" s="7" t="str">
        <x:v>Optimize existing page</x:v>
      </x:c>
      <x:c r="M281" s="7" t="str">
        <x:v>Alternative / cross-reference</x:v>
      </x:c>
      <x:c r="N281" s="7" t="n">
        <x:v>5</x:v>
      </x:c>
      <x:c r="O281" s="7" t="n">
        <x:f>IF(B281&gt;=1000,5,IF(B281&gt;=300,4,IF(B281&gt;=100,3,IF(B281&gt;=30,2,IF(B281&gt;=10,1,0)))))</x:f>
        <x:v>0</x:v>
      </x:c>
      <x:c r="P281" s="7" t="n">
        <x:f>IF(C281&gt;=5,4,IF(C281&gt;=2,3,IF(C281&gt;=1,2,IF(C281&gt;0,1,0))))</x:f>
        <x:v>0</x:v>
      </x:c>
      <x:c r="Q281" s="7" t="n">
        <x:f>N281*2+O281+P281+IF(F281&gt;=0.2,1,0)+IF(K281="Gap",2,0)-IF(I281&lt;=2,5,0)</x:f>
        <x:v>10</x:v>
      </x:c>
      <x:c r="R281" s="7" t="str">
        <x:f>IF(I281&lt;=2,"D",IF(Q281&gt;=15,"A",IF(Q281&gt;=11,"B",IF(Q281&gt;=7,"C","D"))))</x:f>
        <x:v>C</x:v>
      </x:c>
      <x:c r="S281" s="12" t="n">
        <x:f>B281*'Dashboard'!$B$11</x:f>
        <x:v>0</x:v>
      </x:c>
      <x:c r="T281" s="10" t="n">
        <x:f>S281*'Dashboard'!$D$11</x:f>
        <x:v>0</x:v>
      </x:c>
      <x:c r="U281" s="7" t="str">
        <x:v>Low-volume commercial long tail; retain only when real supply evidence is available.</x:v>
      </x:c>
    </x:row>
    <x:row r="282" ht="19" customHeight="1">
      <x:c r="A282" s="7" t="str">
        <x:v>obsolete hydraulic valve replacement</x:v>
      </x:c>
      <x:c r="B282" s="8" t="n">
        <x:v>0</x:v>
      </x:c>
      <x:c r="C282" s="9" t="n">
        <x:v>0</x:v>
      </x:c>
      <x:c r="D282" s="10" t="n">
        <x:v>0</x:v>
      </x:c>
      <x:c r="E282" s="8" t="n">
        <x:v>0</x:v>
      </x:c>
      <x:c r="F282" s="11" t="n">
        <x:v>0</x:v>
      </x:c>
      <x:c r="G282" s="7" t="str">
        <x:v>Commercial</x:v>
      </x:c>
      <x:c r="H282" s="7" t="str">
        <x:v>Replacement &amp; Cross-reference</x:v>
      </x:c>
      <x:c r="I282" s="7" t="n">
        <x:v>5</x:v>
      </x:c>
      <x:c r="J282" s="7" t="str">
        <x:v>/products/hydraulic-valves/</x:v>
      </x:c>
      <x:c r="K282" s="7" t="str">
        <x:v>Covered</x:v>
      </x:c>
      <x:c r="L282" s="7" t="str">
        <x:v>Optimize existing page</x:v>
      </x:c>
      <x:c r="M282" s="7" t="str">
        <x:v>Alternative / cross-reference</x:v>
      </x:c>
      <x:c r="N282" s="7" t="n">
        <x:v>5</x:v>
      </x:c>
      <x:c r="O282" s="7" t="n">
        <x:f>IF(B282&gt;=1000,5,IF(B282&gt;=300,4,IF(B282&gt;=100,3,IF(B282&gt;=30,2,IF(B282&gt;=10,1,0)))))</x:f>
        <x:v>0</x:v>
      </x:c>
      <x:c r="P282" s="7" t="n">
        <x:f>IF(C282&gt;=5,4,IF(C282&gt;=2,3,IF(C282&gt;=1,2,IF(C282&gt;0,1,0))))</x:f>
        <x:v>0</x:v>
      </x:c>
      <x:c r="Q282" s="7" t="n">
        <x:f>N282*2+O282+P282+IF(F282&gt;=0.2,1,0)+IF(K282="Gap",2,0)-IF(I282&lt;=2,5,0)</x:f>
        <x:v>10</x:v>
      </x:c>
      <x:c r="R282" s="7" t="str">
        <x:f>IF(I282&lt;=2,"D",IF(Q282&gt;=15,"A",IF(Q282&gt;=11,"B",IF(Q282&gt;=7,"C","D"))))</x:f>
        <x:v>C</x:v>
      </x:c>
      <x:c r="S282" s="12" t="n">
        <x:f>B282*'Dashboard'!$B$11</x:f>
        <x:v>0</x:v>
      </x:c>
      <x:c r="T282" s="10" t="n">
        <x:f>S282*'Dashboard'!$D$11</x:f>
        <x:v>0</x:v>
      </x:c>
      <x:c r="U282" s="7" t="str">
        <x:v>Low-volume commercial long tail; retain only when real supply evidence is available.</x:v>
      </x:c>
    </x:row>
    <x:row r="283" ht="19" customHeight="1">
      <x:c r="A283" s="7" t="str">
        <x:v>orbital hydraulic motor aftermarket</x:v>
      </x:c>
      <x:c r="B283" s="8" t="n">
        <x:v>0</x:v>
      </x:c>
      <x:c r="C283" s="9" t="n">
        <x:v>0</x:v>
      </x:c>
      <x:c r="D283" s="10" t="n">
        <x:v>0</x:v>
      </x:c>
      <x:c r="E283" s="8" t="n">
        <x:v>0</x:v>
      </x:c>
      <x:c r="F283" s="11" t="n">
        <x:v>0</x:v>
      </x:c>
      <x:c r="G283" s="7" t="str">
        <x:v>Commercial</x:v>
      </x:c>
      <x:c r="H283" s="7" t="str">
        <x:v>Replacement &amp; Cross-reference</x:v>
      </x:c>
      <x:c r="I283" s="7" t="n">
        <x:v>5</x:v>
      </x:c>
      <x:c r="J283" s="7" t="str">
        <x:v>/products/hydraulic-motors/orbital-hydraulic-motors/</x:v>
      </x:c>
      <x:c r="K283" s="7" t="str">
        <x:v>Covered</x:v>
      </x:c>
      <x:c r="L283" s="7" t="str">
        <x:v>Optimize existing page</x:v>
      </x:c>
      <x:c r="M283" s="7" t="str">
        <x:v>Alternative / cross-reference</x:v>
      </x:c>
      <x:c r="N283" s="7" t="n">
        <x:v>5</x:v>
      </x:c>
      <x:c r="O283" s="7" t="n">
        <x:f>IF(B283&gt;=1000,5,IF(B283&gt;=300,4,IF(B283&gt;=100,3,IF(B283&gt;=30,2,IF(B283&gt;=10,1,0)))))</x:f>
        <x:v>0</x:v>
      </x:c>
      <x:c r="P283" s="7" t="n">
        <x:f>IF(C283&gt;=5,4,IF(C283&gt;=2,3,IF(C283&gt;=1,2,IF(C283&gt;0,1,0))))</x:f>
        <x:v>0</x:v>
      </x:c>
      <x:c r="Q283" s="7" t="n">
        <x:f>N283*2+O283+P283+IF(F283&gt;=0.2,1,0)+IF(K283="Gap",2,0)-IF(I283&lt;=2,5,0)</x:f>
        <x:v>10</x:v>
      </x:c>
      <x:c r="R283" s="7" t="str">
        <x:f>IF(I283&lt;=2,"D",IF(Q283&gt;=15,"A",IF(Q283&gt;=11,"B",IF(Q283&gt;=7,"C","D"))))</x:f>
        <x:v>C</x:v>
      </x:c>
      <x:c r="S283" s="12" t="n">
        <x:f>B283*'Dashboard'!$B$11</x:f>
        <x:v>0</x:v>
      </x:c>
      <x:c r="T283" s="10" t="n">
        <x:f>S283*'Dashboard'!$D$11</x:f>
        <x:v>0</x:v>
      </x:c>
      <x:c r="U283" s="7" t="str">
        <x:v>Low-volume commercial long tail; retain only when real supply evidence is available.</x:v>
      </x:c>
    </x:row>
    <x:row r="284" ht="19" customHeight="1">
      <x:c r="A284" s="7" t="str">
        <x:v>orbital hydraulic motor in stock</x:v>
      </x:c>
      <x:c r="B284" s="8" t="n">
        <x:v>0</x:v>
      </x:c>
      <x:c r="C284" s="9" t="n">
        <x:v>0</x:v>
      </x:c>
      <x:c r="D284" s="10" t="n">
        <x:v>0</x:v>
      </x:c>
      <x:c r="E284" s="8" t="n">
        <x:v>0</x:v>
      </x:c>
      <x:c r="F284" s="11" t="n">
        <x:v>0</x:v>
      </x:c>
      <x:c r="G284" s="7" t="str">
        <x:v>Transactional</x:v>
      </x:c>
      <x:c r="H284" s="7" t="str">
        <x:v>Hydraulic Motors</x:v>
      </x:c>
      <x:c r="I284" s="7" t="n">
        <x:v>5</x:v>
      </x:c>
      <x:c r="J284" s="7" t="str">
        <x:v>/products/hydraulic-motors/orbital-hydraulic-motors/</x:v>
      </x:c>
      <x:c r="K284" s="7" t="str">
        <x:v>Covered</x:v>
      </x:c>
      <x:c r="L284" s="7" t="str">
        <x:v>Optimize existing page</x:v>
      </x:c>
      <x:c r="M284" s="7" t="str">
        <x:v>Product / category</x:v>
      </x:c>
      <x:c r="N284" s="7" t="n">
        <x:v>5</x:v>
      </x:c>
      <x:c r="O284" s="7" t="n">
        <x:f>IF(B284&gt;=1000,5,IF(B284&gt;=300,4,IF(B284&gt;=100,3,IF(B284&gt;=30,2,IF(B284&gt;=10,1,0)))))</x:f>
        <x:v>0</x:v>
      </x:c>
      <x:c r="P284" s="7" t="n">
        <x:f>IF(C284&gt;=5,4,IF(C284&gt;=2,3,IF(C284&gt;=1,2,IF(C284&gt;0,1,0))))</x:f>
        <x:v>0</x:v>
      </x:c>
      <x:c r="Q284" s="7" t="n">
        <x:f>N284*2+O284+P284+IF(F284&gt;=0.2,1,0)+IF(K284="Gap",2,0)-IF(I284&lt;=2,5,0)</x:f>
        <x:v>10</x:v>
      </x:c>
      <x:c r="R284" s="7" t="str">
        <x:f>IF(I284&lt;=2,"D",IF(Q284&gt;=15,"A",IF(Q284&gt;=11,"B",IF(Q284&gt;=7,"C","D"))))</x:f>
        <x:v>C</x:v>
      </x:c>
      <x:c r="S284" s="12" t="n">
        <x:f>B284*'Dashboard'!$B$11</x:f>
        <x:v>0</x:v>
      </x:c>
      <x:c r="T284" s="10" t="n">
        <x:f>S284*'Dashboard'!$D$11</x:f>
        <x:v>0</x:v>
      </x:c>
      <x:c r="U284" s="7" t="str">
        <x:v>Low-volume commercial long tail; retain only when real supply evidence is available.</x:v>
      </x:c>
    </x:row>
    <x:row r="285" ht="19" customHeight="1">
      <x:c r="A285" s="7" t="str">
        <x:v>orbital hydraulic motor manufacturer</x:v>
      </x:c>
      <x:c r="B285" s="8" t="n">
        <x:v>0</x:v>
      </x:c>
      <x:c r="C285" s="9" t="n">
        <x:v>0</x:v>
      </x:c>
      <x:c r="D285" s="10" t="n">
        <x:v>0</x:v>
      </x:c>
      <x:c r="E285" s="8" t="n">
        <x:v>0</x:v>
      </x:c>
      <x:c r="F285" s="11" t="n">
        <x:v>0</x:v>
      </x:c>
      <x:c r="G285" s="7" t="str">
        <x:v>Transactional</x:v>
      </x:c>
      <x:c r="H285" s="7" t="str">
        <x:v>Hydraulic Motors</x:v>
      </x:c>
      <x:c r="I285" s="7" t="n">
        <x:v>5</x:v>
      </x:c>
      <x:c r="J285" s="7" t="str">
        <x:v>/products/hydraulic-motors/orbital-hydraulic-motors/</x:v>
      </x:c>
      <x:c r="K285" s="7" t="str">
        <x:v>Covered</x:v>
      </x:c>
      <x:c r="L285" s="7" t="str">
        <x:v>Optimize existing page</x:v>
      </x:c>
      <x:c r="M285" s="7" t="str">
        <x:v>Product / category</x:v>
      </x:c>
      <x:c r="N285" s="7" t="n">
        <x:v>5</x:v>
      </x:c>
      <x:c r="O285" s="7" t="n">
        <x:f>IF(B285&gt;=1000,5,IF(B285&gt;=300,4,IF(B285&gt;=100,3,IF(B285&gt;=30,2,IF(B285&gt;=10,1,0)))))</x:f>
        <x:v>0</x:v>
      </x:c>
      <x:c r="P285" s="7" t="n">
        <x:f>IF(C285&gt;=5,4,IF(C285&gt;=2,3,IF(C285&gt;=1,2,IF(C285&gt;0,1,0))))</x:f>
        <x:v>0</x:v>
      </x:c>
      <x:c r="Q285" s="7" t="n">
        <x:f>N285*2+O285+P285+IF(F285&gt;=0.2,1,0)+IF(K285="Gap",2,0)-IF(I285&lt;=2,5,0)</x:f>
        <x:v>10</x:v>
      </x:c>
      <x:c r="R285" s="7" t="str">
        <x:f>IF(I285&lt;=2,"D",IF(Q285&gt;=15,"A",IF(Q285&gt;=11,"B",IF(Q285&gt;=7,"C","D"))))</x:f>
        <x:v>C</x:v>
      </x:c>
      <x:c r="S285" s="12" t="n">
        <x:f>B285*'Dashboard'!$B$11</x:f>
        <x:v>0</x:v>
      </x:c>
      <x:c r="T285" s="10" t="n">
        <x:f>S285*'Dashboard'!$D$11</x:f>
        <x:v>0</x:v>
      </x:c>
      <x:c r="U285" s="7" t="str">
        <x:v>Low-volume commercial long tail; retain only when real supply evidence is available.</x:v>
      </x:c>
    </x:row>
    <x:row r="286" ht="19" customHeight="1">
      <x:c r="A286" s="7" t="str">
        <x:v>orbital hydraulic motor replacement</x:v>
      </x:c>
      <x:c r="B286" s="8" t="n">
        <x:v>0</x:v>
      </x:c>
      <x:c r="C286" s="9" t="n">
        <x:v>0</x:v>
      </x:c>
      <x:c r="D286" s="10" t="n">
        <x:v>0</x:v>
      </x:c>
      <x:c r="E286" s="8" t="n">
        <x:v>0</x:v>
      </x:c>
      <x:c r="F286" s="11" t="n">
        <x:v>0</x:v>
      </x:c>
      <x:c r="G286" s="7" t="str">
        <x:v>Commercial</x:v>
      </x:c>
      <x:c r="H286" s="7" t="str">
        <x:v>Replacement &amp; Cross-reference</x:v>
      </x:c>
      <x:c r="I286" s="7" t="n">
        <x:v>5</x:v>
      </x:c>
      <x:c r="J286" s="7" t="str">
        <x:v>/products/hydraulic-motors/orbital-hydraulic-motors/</x:v>
      </x:c>
      <x:c r="K286" s="7" t="str">
        <x:v>Covered</x:v>
      </x:c>
      <x:c r="L286" s="7" t="str">
        <x:v>Optimize existing page</x:v>
      </x:c>
      <x:c r="M286" s="7" t="str">
        <x:v>Alternative / cross-reference</x:v>
      </x:c>
      <x:c r="N286" s="7" t="n">
        <x:v>5</x:v>
      </x:c>
      <x:c r="O286" s="7" t="n">
        <x:f>IF(B286&gt;=1000,5,IF(B286&gt;=300,4,IF(B286&gt;=100,3,IF(B286&gt;=30,2,IF(B286&gt;=10,1,0)))))</x:f>
        <x:v>0</x:v>
      </x:c>
      <x:c r="P286" s="7" t="n">
        <x:f>IF(C286&gt;=5,4,IF(C286&gt;=2,3,IF(C286&gt;=1,2,IF(C286&gt;0,1,0))))</x:f>
        <x:v>0</x:v>
      </x:c>
      <x:c r="Q286" s="7" t="n">
        <x:f>N286*2+O286+P286+IF(F286&gt;=0.2,1,0)+IF(K286="Gap",2,0)-IF(I286&lt;=2,5,0)</x:f>
        <x:v>10</x:v>
      </x:c>
      <x:c r="R286" s="7" t="str">
        <x:f>IF(I286&lt;=2,"D",IF(Q286&gt;=15,"A",IF(Q286&gt;=11,"B",IF(Q286&gt;=7,"C","D"))))</x:f>
        <x:v>C</x:v>
      </x:c>
      <x:c r="S286" s="12" t="n">
        <x:f>B286*'Dashboard'!$B$11</x:f>
        <x:v>0</x:v>
      </x:c>
      <x:c r="T286" s="10" t="n">
        <x:f>S286*'Dashboard'!$D$11</x:f>
        <x:v>0</x:v>
      </x:c>
      <x:c r="U286" s="7" t="str">
        <x:v>Low-volume commercial long tail; retain only when real supply evidence is available.</x:v>
      </x:c>
    </x:row>
    <x:row r="287" ht="19" customHeight="1">
      <x:c r="A287" s="7" t="str">
        <x:v>orbital hydraulic motor supplier</x:v>
      </x:c>
      <x:c r="B287" s="8" t="n">
        <x:v>0</x:v>
      </x:c>
      <x:c r="C287" s="9" t="n">
        <x:v>0</x:v>
      </x:c>
      <x:c r="D287" s="10" t="n">
        <x:v>0</x:v>
      </x:c>
      <x:c r="E287" s="8" t="n">
        <x:v>0</x:v>
      </x:c>
      <x:c r="F287" s="11" t="n">
        <x:v>0</x:v>
      </x:c>
      <x:c r="G287" s="7" t="str">
        <x:v>Transactional</x:v>
      </x:c>
      <x:c r="H287" s="7" t="str">
        <x:v>Hydraulic Motors</x:v>
      </x:c>
      <x:c r="I287" s="7" t="n">
        <x:v>5</x:v>
      </x:c>
      <x:c r="J287" s="7" t="str">
        <x:v>/products/hydraulic-motors/orbital-hydraulic-motors/</x:v>
      </x:c>
      <x:c r="K287" s="7" t="str">
        <x:v>Covered</x:v>
      </x:c>
      <x:c r="L287" s="7" t="str">
        <x:v>Optimize existing page</x:v>
      </x:c>
      <x:c r="M287" s="7" t="str">
        <x:v>Product / category</x:v>
      </x:c>
      <x:c r="N287" s="7" t="n">
        <x:v>5</x:v>
      </x:c>
      <x:c r="O287" s="7" t="n">
        <x:f>IF(B287&gt;=1000,5,IF(B287&gt;=300,4,IF(B287&gt;=100,3,IF(B287&gt;=30,2,IF(B287&gt;=10,1,0)))))</x:f>
        <x:v>0</x:v>
      </x:c>
      <x:c r="P287" s="7" t="n">
        <x:f>IF(C287&gt;=5,4,IF(C287&gt;=2,3,IF(C287&gt;=1,2,IF(C287&gt;0,1,0))))</x:f>
        <x:v>0</x:v>
      </x:c>
      <x:c r="Q287" s="7" t="n">
        <x:f>N287*2+O287+P287+IF(F287&gt;=0.2,1,0)+IF(K287="Gap",2,0)-IF(I287&lt;=2,5,0)</x:f>
        <x:v>10</x:v>
      </x:c>
      <x:c r="R287" s="7" t="str">
        <x:f>IF(I287&lt;=2,"D",IF(Q287&gt;=15,"A",IF(Q287&gt;=11,"B",IF(Q287&gt;=7,"C","D"))))</x:f>
        <x:v>C</x:v>
      </x:c>
      <x:c r="S287" s="12" t="n">
        <x:f>B287*'Dashboard'!$B$11</x:f>
        <x:v>0</x:v>
      </x:c>
      <x:c r="T287" s="10" t="n">
        <x:f>S287*'Dashboard'!$D$11</x:f>
        <x:v>0</x:v>
      </x:c>
      <x:c r="U287" s="7" t="str">
        <x:v>Low-volume commercial long tail; retain only when real supply evidence is available.</x:v>
      </x:c>
    </x:row>
    <x:row r="288" ht="19" customHeight="1">
      <x:c r="A288" s="7" t="str">
        <x:v>pavc equivalent</x:v>
      </x:c>
      <x:c r="B288" s="8" t="n">
        <x:v>0</x:v>
      </x:c>
      <x:c r="C288" s="9" t="n">
        <x:v>0</x:v>
      </x:c>
      <x:c r="D288" s="10" t="n">
        <x:v>0</x:v>
      </x:c>
      <x:c r="E288" s="8" t="n">
        <x:v>0</x:v>
      </x:c>
      <x:c r="F288" s="11" t="n">
        <x:v>0</x:v>
      </x:c>
      <x:c r="G288" s="7" t="str">
        <x:v>Commercial</x:v>
      </x:c>
      <x:c r="H288" s="7" t="str">
        <x:v>Replacement &amp; Cross-reference</x:v>
      </x:c>
      <x:c r="I288" s="7" t="n">
        <x:v>5</x:v>
      </x:c>
      <x:c r="J288" s="7" t="str">
        <x:v>/series/pavc/</x:v>
      </x:c>
      <x:c r="K288" s="7" t="str">
        <x:v>Covered</x:v>
      </x:c>
      <x:c r="L288" s="7" t="str">
        <x:v>Optimize existing page</x:v>
      </x:c>
      <x:c r="M288" s="7" t="str">
        <x:v>Series hub</x:v>
      </x:c>
      <x:c r="N288" s="7" t="n">
        <x:v>5</x:v>
      </x:c>
      <x:c r="O288" s="7" t="n">
        <x:f>IF(B288&gt;=1000,5,IF(B288&gt;=300,4,IF(B288&gt;=100,3,IF(B288&gt;=30,2,IF(B288&gt;=10,1,0)))))</x:f>
        <x:v>0</x:v>
      </x:c>
      <x:c r="P288" s="7" t="n">
        <x:f>IF(C288&gt;=5,4,IF(C288&gt;=2,3,IF(C288&gt;=1,2,IF(C288&gt;0,1,0))))</x:f>
        <x:v>0</x:v>
      </x:c>
      <x:c r="Q288" s="7" t="n">
        <x:f>N288*2+O288+P288+IF(F288&gt;=0.2,1,0)+IF(K288="Gap",2,0)-IF(I288&lt;=2,5,0)</x:f>
        <x:v>10</x:v>
      </x:c>
      <x:c r="R288" s="7" t="str">
        <x:f>IF(I288&lt;=2,"D",IF(Q288&gt;=15,"A",IF(Q288&gt;=11,"B",IF(Q288&gt;=7,"C","D"))))</x:f>
        <x:v>C</x:v>
      </x:c>
      <x:c r="S288" s="12" t="n">
        <x:f>B288*'Dashboard'!$B$11</x:f>
        <x:v>0</x:v>
      </x:c>
      <x:c r="T288" s="10" t="n">
        <x:f>S288*'Dashboard'!$D$11</x:f>
        <x:v>0</x:v>
      </x:c>
      <x:c r="U288" s="7" t="str">
        <x:v>Low-volume commercial long tail; retain only when real supply evidence is available.</x:v>
      </x:c>
    </x:row>
    <x:row r="289" ht="19" customHeight="1">
      <x:c r="A289" s="7" t="str">
        <x:v>pavc parts</x:v>
      </x:c>
      <x:c r="B289" s="8" t="n">
        <x:v>0</x:v>
      </x:c>
      <x:c r="C289" s="9" t="n">
        <x:v>0</x:v>
      </x:c>
      <x:c r="D289" s="10" t="n">
        <x:v>0</x:v>
      </x:c>
      <x:c r="E289" s="8" t="n">
        <x:v>0</x:v>
      </x:c>
      <x:c r="F289" s="11" t="n">
        <x:v>0</x:v>
      </x:c>
      <x:c r="G289" s="7" t="str">
        <x:v>Commercial</x:v>
      </x:c>
      <x:c r="H289" s="7" t="str">
        <x:v>Hydraulic Pumps</x:v>
      </x:c>
      <x:c r="I289" s="7" t="n">
        <x:v>5</x:v>
      </x:c>
      <x:c r="J289" s="7" t="str">
        <x:v>/series/pavc/</x:v>
      </x:c>
      <x:c r="K289" s="7" t="str">
        <x:v>Covered</x:v>
      </x:c>
      <x:c r="L289" s="7" t="str">
        <x:v>Optimize existing page</x:v>
      </x:c>
      <x:c r="M289" s="7" t="str">
        <x:v>Series hub</x:v>
      </x:c>
      <x:c r="N289" s="7" t="n">
        <x:v>5</x:v>
      </x:c>
      <x:c r="O289" s="7" t="n">
        <x:f>IF(B289&gt;=1000,5,IF(B289&gt;=300,4,IF(B289&gt;=100,3,IF(B289&gt;=30,2,IF(B289&gt;=10,1,0)))))</x:f>
        <x:v>0</x:v>
      </x:c>
      <x:c r="P289" s="7" t="n">
        <x:f>IF(C289&gt;=5,4,IF(C289&gt;=2,3,IF(C289&gt;=1,2,IF(C289&gt;0,1,0))))</x:f>
        <x:v>0</x:v>
      </x:c>
      <x:c r="Q289" s="7" t="n">
        <x:f>N289*2+O289+P289+IF(F289&gt;=0.2,1,0)+IF(K289="Gap",2,0)-IF(I289&lt;=2,5,0)</x:f>
        <x:v>10</x:v>
      </x:c>
      <x:c r="R289" s="7" t="str">
        <x:f>IF(I289&lt;=2,"D",IF(Q289&gt;=15,"A",IF(Q289&gt;=11,"B",IF(Q289&gt;=7,"C","D"))))</x:f>
        <x:v>C</x:v>
      </x:c>
      <x:c r="S289" s="12" t="n">
        <x:f>B289*'Dashboard'!$B$11</x:f>
        <x:v>0</x:v>
      </x:c>
      <x:c r="T289" s="10" t="n">
        <x:f>S289*'Dashboard'!$D$11</x:f>
        <x:v>0</x:v>
      </x:c>
      <x:c r="U289" s="7" t="str">
        <x:v>Low-volume commercial long tail; retain only when real supply evidence is available.</x:v>
      </x:c>
    </x:row>
    <x:row r="290" ht="19" customHeight="1">
      <x:c r="A290" s="7" t="str">
        <x:v>pavc replacement</x:v>
      </x:c>
      <x:c r="B290" s="8" t="n">
        <x:v>0</x:v>
      </x:c>
      <x:c r="C290" s="9" t="n">
        <x:v>0</x:v>
      </x:c>
      <x:c r="D290" s="10" t="n">
        <x:v>0</x:v>
      </x:c>
      <x:c r="E290" s="8" t="n">
        <x:v>0</x:v>
      </x:c>
      <x:c r="F290" s="11" t="n">
        <x:v>0</x:v>
      </x:c>
      <x:c r="G290" s="7" t="str">
        <x:v>Commercial</x:v>
      </x:c>
      <x:c r="H290" s="7" t="str">
        <x:v>Replacement &amp; Cross-reference</x:v>
      </x:c>
      <x:c r="I290" s="7" t="n">
        <x:v>5</x:v>
      </x:c>
      <x:c r="J290" s="7" t="str">
        <x:v>/series/pavc/</x:v>
      </x:c>
      <x:c r="K290" s="7" t="str">
        <x:v>Covered</x:v>
      </x:c>
      <x:c r="L290" s="7" t="str">
        <x:v>Optimize existing page</x:v>
      </x:c>
      <x:c r="M290" s="7" t="str">
        <x:v>Series hub</x:v>
      </x:c>
      <x:c r="N290" s="7" t="n">
        <x:v>5</x:v>
      </x:c>
      <x:c r="O290" s="7" t="n">
        <x:f>IF(B290&gt;=1000,5,IF(B290&gt;=300,4,IF(B290&gt;=100,3,IF(B290&gt;=30,2,IF(B290&gt;=10,1,0)))))</x:f>
        <x:v>0</x:v>
      </x:c>
      <x:c r="P290" s="7" t="n">
        <x:f>IF(C290&gt;=5,4,IF(C290&gt;=2,3,IF(C290&gt;=1,2,IF(C290&gt;0,1,0))))</x:f>
        <x:v>0</x:v>
      </x:c>
      <x:c r="Q290" s="7" t="n">
        <x:f>N290*2+O290+P290+IF(F290&gt;=0.2,1,0)+IF(K290="Gap",2,0)-IF(I290&lt;=2,5,0)</x:f>
        <x:v>10</x:v>
      </x:c>
      <x:c r="R290" s="7" t="str">
        <x:f>IF(I290&lt;=2,"D",IF(Q290&gt;=15,"A",IF(Q290&gt;=11,"B",IF(Q290&gt;=7,"C","D"))))</x:f>
        <x:v>C</x:v>
      </x:c>
      <x:c r="S290" s="12" t="n">
        <x:f>B290*'Dashboard'!$B$11</x:f>
        <x:v>0</x:v>
      </x:c>
      <x:c r="T290" s="10" t="n">
        <x:f>S290*'Dashboard'!$D$11</x:f>
        <x:v>0</x:v>
      </x:c>
      <x:c r="U290" s="7" t="str">
        <x:v>Low-volume commercial long tail; retain only when real supply evidence is available.</x:v>
      </x:c>
    </x:row>
    <x:row r="291" ht="19" customHeight="1">
      <x:c r="A291" s="7" t="str">
        <x:v>pavc seal kit</x:v>
      </x:c>
      <x:c r="B291" s="8" t="n">
        <x:v>0</x:v>
      </x:c>
      <x:c r="C291" s="9" t="n">
        <x:v>0</x:v>
      </x:c>
      <x:c r="D291" s="10" t="n">
        <x:v>0</x:v>
      </x:c>
      <x:c r="E291" s="8" t="n">
        <x:v>0</x:v>
      </x:c>
      <x:c r="F291" s="11" t="n">
        <x:v>0</x:v>
      </x:c>
      <x:c r="G291" s="7" t="str">
        <x:v>Commercial</x:v>
      </x:c>
      <x:c r="H291" s="7" t="str">
        <x:v>Repair Kits &amp; Service Parts</x:v>
      </x:c>
      <x:c r="I291" s="7" t="n">
        <x:v>5</x:v>
      </x:c>
      <x:c r="J291" s="7" t="str">
        <x:v>/series/pavc/</x:v>
      </x:c>
      <x:c r="K291" s="7" t="str">
        <x:v>Covered</x:v>
      </x:c>
      <x:c r="L291" s="7" t="str">
        <x:v>Optimize existing page</x:v>
      </x:c>
      <x:c r="M291" s="7" t="str">
        <x:v>Series hub</x:v>
      </x:c>
      <x:c r="N291" s="7" t="n">
        <x:v>5</x:v>
      </x:c>
      <x:c r="O291" s="7" t="n">
        <x:f>IF(B291&gt;=1000,5,IF(B291&gt;=300,4,IF(B291&gt;=100,3,IF(B291&gt;=30,2,IF(B291&gt;=10,1,0)))))</x:f>
        <x:v>0</x:v>
      </x:c>
      <x:c r="P291" s="7" t="n">
        <x:f>IF(C291&gt;=5,4,IF(C291&gt;=2,3,IF(C291&gt;=1,2,IF(C291&gt;0,1,0))))</x:f>
        <x:v>0</x:v>
      </x:c>
      <x:c r="Q291" s="7" t="n">
        <x:f>N291*2+O291+P291+IF(F291&gt;=0.2,1,0)+IF(K291="Gap",2,0)-IF(I291&lt;=2,5,0)</x:f>
        <x:v>10</x:v>
      </x:c>
      <x:c r="R291" s="7" t="str">
        <x:f>IF(I291&lt;=2,"D",IF(Q291&gt;=15,"A",IF(Q291&gt;=11,"B",IF(Q291&gt;=7,"C","D"))))</x:f>
        <x:v>C</x:v>
      </x:c>
      <x:c r="S291" s="12" t="n">
        <x:f>B291*'Dashboard'!$B$11</x:f>
        <x:v>0</x:v>
      </x:c>
      <x:c r="T291" s="10" t="n">
        <x:f>S291*'Dashboard'!$D$11</x:f>
        <x:v>0</x:v>
      </x:c>
      <x:c r="U291" s="7" t="str">
        <x:v>Low-volume commercial long tail; retain only when real supply evidence is available.</x:v>
      </x:c>
    </x:row>
    <x:row r="292" ht="19" customHeight="1">
      <x:c r="A292" s="7" t="str">
        <x:v>pavc supplier</x:v>
      </x:c>
      <x:c r="B292" s="8" t="n">
        <x:v>0</x:v>
      </x:c>
      <x:c r="C292" s="9" t="n">
        <x:v>0</x:v>
      </x:c>
      <x:c r="D292" s="10" t="n">
        <x:v>0</x:v>
      </x:c>
      <x:c r="E292" s="8" t="n">
        <x:v>0</x:v>
      </x:c>
      <x:c r="F292" s="11" t="n">
        <x:v>0</x:v>
      </x:c>
      <x:c r="G292" s="7" t="str">
        <x:v>Transactional</x:v>
      </x:c>
      <x:c r="H292" s="7" t="str">
        <x:v>Hydraulic Pumps</x:v>
      </x:c>
      <x:c r="I292" s="7" t="n">
        <x:v>5</x:v>
      </x:c>
      <x:c r="J292" s="7" t="str">
        <x:v>/series/pavc/</x:v>
      </x:c>
      <x:c r="K292" s="7" t="str">
        <x:v>Covered</x:v>
      </x:c>
      <x:c r="L292" s="7" t="str">
        <x:v>Optimize existing page</x:v>
      </x:c>
      <x:c r="M292" s="7" t="str">
        <x:v>Series hub</x:v>
      </x:c>
      <x:c r="N292" s="7" t="n">
        <x:v>5</x:v>
      </x:c>
      <x:c r="O292" s="7" t="n">
        <x:f>IF(B292&gt;=1000,5,IF(B292&gt;=300,4,IF(B292&gt;=100,3,IF(B292&gt;=30,2,IF(B292&gt;=10,1,0)))))</x:f>
        <x:v>0</x:v>
      </x:c>
      <x:c r="P292" s="7" t="n">
        <x:f>IF(C292&gt;=5,4,IF(C292&gt;=2,3,IF(C292&gt;=1,2,IF(C292&gt;0,1,0))))</x:f>
        <x:v>0</x:v>
      </x:c>
      <x:c r="Q292" s="7" t="n">
        <x:f>N292*2+O292+P292+IF(F292&gt;=0.2,1,0)+IF(K292="Gap",2,0)-IF(I292&lt;=2,5,0)</x:f>
        <x:v>10</x:v>
      </x:c>
      <x:c r="R292" s="7" t="str">
        <x:f>IF(I292&lt;=2,"D",IF(Q292&gt;=15,"A",IF(Q292&gt;=11,"B",IF(Q292&gt;=7,"C","D"))))</x:f>
        <x:v>C</x:v>
      </x:c>
      <x:c r="S292" s="12" t="n">
        <x:f>B292*'Dashboard'!$B$11</x:f>
        <x:v>0</x:v>
      </x:c>
      <x:c r="T292" s="10" t="n">
        <x:f>S292*'Dashboard'!$D$11</x:f>
        <x:v>0</x:v>
      </x:c>
      <x:c r="U292" s="7" t="str">
        <x:v>Low-volume commercial long tail; retain only when real supply evidence is available.</x:v>
      </x:c>
    </x:row>
    <x:row r="293" ht="19" customHeight="1">
      <x:c r="A293" s="7" t="str">
        <x:v>pressure control valve aftermarket</x:v>
      </x:c>
      <x:c r="B293" s="8" t="n">
        <x:v>0</x:v>
      </x:c>
      <x:c r="C293" s="9" t="n">
        <x:v>0</x:v>
      </x:c>
      <x:c r="D293" s="10" t="n">
        <x:v>0</x:v>
      </x:c>
      <x:c r="E293" s="8" t="n">
        <x:v>0</x:v>
      </x:c>
      <x:c r="F293" s="11" t="n">
        <x:v>0</x:v>
      </x:c>
      <x:c r="G293" s="7" t="str">
        <x:v>Commercial</x:v>
      </x:c>
      <x:c r="H293" s="7" t="str">
        <x:v>Replacement &amp; Cross-reference</x:v>
      </x:c>
      <x:c r="I293" s="7" t="n">
        <x:v>5</x:v>
      </x:c>
      <x:c r="J293" s="7" t="str">
        <x:v>/products/hydraulic-valves/pressure-control-valves/</x:v>
      </x:c>
      <x:c r="K293" s="7" t="str">
        <x:v>Covered</x:v>
      </x:c>
      <x:c r="L293" s="7" t="str">
        <x:v>Optimize existing page</x:v>
      </x:c>
      <x:c r="M293" s="7" t="str">
        <x:v>Alternative / cross-reference</x:v>
      </x:c>
      <x:c r="N293" s="7" t="n">
        <x:v>5</x:v>
      </x:c>
      <x:c r="O293" s="7" t="n">
        <x:f>IF(B293&gt;=1000,5,IF(B293&gt;=300,4,IF(B293&gt;=100,3,IF(B293&gt;=30,2,IF(B293&gt;=10,1,0)))))</x:f>
        <x:v>0</x:v>
      </x:c>
      <x:c r="P293" s="7" t="n">
        <x:f>IF(C293&gt;=5,4,IF(C293&gt;=2,3,IF(C293&gt;=1,2,IF(C293&gt;0,1,0))))</x:f>
        <x:v>0</x:v>
      </x:c>
      <x:c r="Q293" s="7" t="n">
        <x:f>N293*2+O293+P293+IF(F293&gt;=0.2,1,0)+IF(K293="Gap",2,0)-IF(I293&lt;=2,5,0)</x:f>
        <x:v>10</x:v>
      </x:c>
      <x:c r="R293" s="7" t="str">
        <x:f>IF(I293&lt;=2,"D",IF(Q293&gt;=15,"A",IF(Q293&gt;=11,"B",IF(Q293&gt;=7,"C","D"))))</x:f>
        <x:v>C</x:v>
      </x:c>
      <x:c r="S293" s="12" t="n">
        <x:f>B293*'Dashboard'!$B$11</x:f>
        <x:v>0</x:v>
      </x:c>
      <x:c r="T293" s="10" t="n">
        <x:f>S293*'Dashboard'!$D$11</x:f>
        <x:v>0</x:v>
      </x:c>
      <x:c r="U293" s="7" t="str">
        <x:v>Low-volume commercial long tail; retain only when real supply evidence is available.</x:v>
      </x:c>
    </x:row>
    <x:row r="294" ht="19" customHeight="1">
      <x:c r="A294" s="7" t="str">
        <x:v>pressure control valve in stock</x:v>
      </x:c>
      <x:c r="B294" s="8" t="n">
        <x:v>0</x:v>
      </x:c>
      <x:c r="C294" s="9" t="n">
        <x:v>0</x:v>
      </x:c>
      <x:c r="D294" s="10" t="n">
        <x:v>0</x:v>
      </x:c>
      <x:c r="E294" s="8" t="n">
        <x:v>0</x:v>
      </x:c>
      <x:c r="F294" s="11" t="n">
        <x:v>0</x:v>
      </x:c>
      <x:c r="G294" s="7" t="str">
        <x:v>Transactional</x:v>
      </x:c>
      <x:c r="H294" s="7" t="str">
        <x:v>Hydraulic Valves</x:v>
      </x:c>
      <x:c r="I294" s="7" t="n">
        <x:v>5</x:v>
      </x:c>
      <x:c r="J294" s="7" t="str">
        <x:v>/products/hydraulic-valves/pressure-control-valves/</x:v>
      </x:c>
      <x:c r="K294" s="7" t="str">
        <x:v>Covered</x:v>
      </x:c>
      <x:c r="L294" s="7" t="str">
        <x:v>Optimize existing page</x:v>
      </x:c>
      <x:c r="M294" s="7" t="str">
        <x:v>Product / category</x:v>
      </x:c>
      <x:c r="N294" s="7" t="n">
        <x:v>5</x:v>
      </x:c>
      <x:c r="O294" s="7" t="n">
        <x:f>IF(B294&gt;=1000,5,IF(B294&gt;=300,4,IF(B294&gt;=100,3,IF(B294&gt;=30,2,IF(B294&gt;=10,1,0)))))</x:f>
        <x:v>0</x:v>
      </x:c>
      <x:c r="P294" s="7" t="n">
        <x:f>IF(C294&gt;=5,4,IF(C294&gt;=2,3,IF(C294&gt;=1,2,IF(C294&gt;0,1,0))))</x:f>
        <x:v>0</x:v>
      </x:c>
      <x:c r="Q294" s="7" t="n">
        <x:f>N294*2+O294+P294+IF(F294&gt;=0.2,1,0)+IF(K294="Gap",2,0)-IF(I294&lt;=2,5,0)</x:f>
        <x:v>10</x:v>
      </x:c>
      <x:c r="R294" s="7" t="str">
        <x:f>IF(I294&lt;=2,"D",IF(Q294&gt;=15,"A",IF(Q294&gt;=11,"B",IF(Q294&gt;=7,"C","D"))))</x:f>
        <x:v>C</x:v>
      </x:c>
      <x:c r="S294" s="12" t="n">
        <x:f>B294*'Dashboard'!$B$11</x:f>
        <x:v>0</x:v>
      </x:c>
      <x:c r="T294" s="10" t="n">
        <x:f>S294*'Dashboard'!$D$11</x:f>
        <x:v>0</x:v>
      </x:c>
      <x:c r="U294" s="7" t="str">
        <x:v>Low-volume commercial long tail; retain only when real supply evidence is available.</x:v>
      </x:c>
    </x:row>
    <x:row r="295" ht="19" customHeight="1">
      <x:c r="A295" s="7" t="str">
        <x:v>pressure control valve replacement</x:v>
      </x:c>
      <x:c r="B295" s="8" t="n">
        <x:v>0</x:v>
      </x:c>
      <x:c r="C295" s="9" t="n">
        <x:v>0</x:v>
      </x:c>
      <x:c r="D295" s="10" t="n">
        <x:v>0</x:v>
      </x:c>
      <x:c r="E295" s="8" t="n">
        <x:v>0</x:v>
      </x:c>
      <x:c r="F295" s="11" t="n">
        <x:v>0</x:v>
      </x:c>
      <x:c r="G295" s="7" t="str">
        <x:v>Commercial</x:v>
      </x:c>
      <x:c r="H295" s="7" t="str">
        <x:v>Replacement &amp; Cross-reference</x:v>
      </x:c>
      <x:c r="I295" s="7" t="n">
        <x:v>5</x:v>
      </x:c>
      <x:c r="J295" s="7" t="str">
        <x:v>/products/hydraulic-valves/pressure-control-valves/</x:v>
      </x:c>
      <x:c r="K295" s="7" t="str">
        <x:v>Covered</x:v>
      </x:c>
      <x:c r="L295" s="7" t="str">
        <x:v>Optimize existing page</x:v>
      </x:c>
      <x:c r="M295" s="7" t="str">
        <x:v>Alternative / cross-reference</x:v>
      </x:c>
      <x:c r="N295" s="7" t="n">
        <x:v>5</x:v>
      </x:c>
      <x:c r="O295" s="7" t="n">
        <x:f>IF(B295&gt;=1000,5,IF(B295&gt;=300,4,IF(B295&gt;=100,3,IF(B295&gt;=30,2,IF(B295&gt;=10,1,0)))))</x:f>
        <x:v>0</x:v>
      </x:c>
      <x:c r="P295" s="7" t="n">
        <x:f>IF(C295&gt;=5,4,IF(C295&gt;=2,3,IF(C295&gt;=1,2,IF(C295&gt;0,1,0))))</x:f>
        <x:v>0</x:v>
      </x:c>
      <x:c r="Q295" s="7" t="n">
        <x:f>N295*2+O295+P295+IF(F295&gt;=0.2,1,0)+IF(K295="Gap",2,0)-IF(I295&lt;=2,5,0)</x:f>
        <x:v>10</x:v>
      </x:c>
      <x:c r="R295" s="7" t="str">
        <x:f>IF(I295&lt;=2,"D",IF(Q295&gt;=15,"A",IF(Q295&gt;=11,"B",IF(Q295&gt;=7,"C","D"))))</x:f>
        <x:v>C</x:v>
      </x:c>
      <x:c r="S295" s="12" t="n">
        <x:f>B295*'Dashboard'!$B$11</x:f>
        <x:v>0</x:v>
      </x:c>
      <x:c r="T295" s="10" t="n">
        <x:f>S295*'Dashboard'!$D$11</x:f>
        <x:v>0</x:v>
      </x:c>
      <x:c r="U295" s="7" t="str">
        <x:v>Low-volume commercial long tail; retain only when real supply evidence is available.</x:v>
      </x:c>
    </x:row>
    <x:row r="296" ht="19" customHeight="1">
      <x:c r="A296" s="7" t="str">
        <x:v>pvh equivalent</x:v>
      </x:c>
      <x:c r="B296" s="8" t="n">
        <x:v>0</x:v>
      </x:c>
      <x:c r="C296" s="9" t="n">
        <x:v>0</x:v>
      </x:c>
      <x:c r="D296" s="10" t="n">
        <x:v>0</x:v>
      </x:c>
      <x:c r="E296" s="8" t="n">
        <x:v>0</x:v>
      </x:c>
      <x:c r="F296" s="11" t="n">
        <x:v>0</x:v>
      </x:c>
      <x:c r="G296" s="7" t="str">
        <x:v>Commercial</x:v>
      </x:c>
      <x:c r="H296" s="7" t="str">
        <x:v>Replacement &amp; Cross-reference</x:v>
      </x:c>
      <x:c r="I296" s="7" t="n">
        <x:v>5</x:v>
      </x:c>
      <x:c r="J296" s="7" t="str">
        <x:v>/series/pvh/</x:v>
      </x:c>
      <x:c r="K296" s="7" t="str">
        <x:v>Covered</x:v>
      </x:c>
      <x:c r="L296" s="7" t="str">
        <x:v>Optimize existing page</x:v>
      </x:c>
      <x:c r="M296" s="7" t="str">
        <x:v>Series hub</x:v>
      </x:c>
      <x:c r="N296" s="7" t="n">
        <x:v>5</x:v>
      </x:c>
      <x:c r="O296" s="7" t="n">
        <x:f>IF(B296&gt;=1000,5,IF(B296&gt;=300,4,IF(B296&gt;=100,3,IF(B296&gt;=30,2,IF(B296&gt;=10,1,0)))))</x:f>
        <x:v>0</x:v>
      </x:c>
      <x:c r="P296" s="7" t="n">
        <x:f>IF(C296&gt;=5,4,IF(C296&gt;=2,3,IF(C296&gt;=1,2,IF(C296&gt;0,1,0))))</x:f>
        <x:v>0</x:v>
      </x:c>
      <x:c r="Q296" s="7" t="n">
        <x:f>N296*2+O296+P296+IF(F296&gt;=0.2,1,0)+IF(K296="Gap",2,0)-IF(I296&lt;=2,5,0)</x:f>
        <x:v>10</x:v>
      </x:c>
      <x:c r="R296" s="7" t="str">
        <x:f>IF(I296&lt;=2,"D",IF(Q296&gt;=15,"A",IF(Q296&gt;=11,"B",IF(Q296&gt;=7,"C","D"))))</x:f>
        <x:v>C</x:v>
      </x:c>
      <x:c r="S296" s="12" t="n">
        <x:f>B296*'Dashboard'!$B$11</x:f>
        <x:v>0</x:v>
      </x:c>
      <x:c r="T296" s="10" t="n">
        <x:f>S296*'Dashboard'!$D$11</x:f>
        <x:v>0</x:v>
      </x:c>
      <x:c r="U296" s="7" t="str">
        <x:v>Low-volume commercial long tail; retain only when real supply evidence is available.</x:v>
      </x:c>
    </x:row>
    <x:row r="297" ht="19" customHeight="1">
      <x:c r="A297" s="7" t="str">
        <x:v>pvh parts</x:v>
      </x:c>
      <x:c r="B297" s="8" t="n">
        <x:v>0</x:v>
      </x:c>
      <x:c r="C297" s="9" t="n">
        <x:v>0</x:v>
      </x:c>
      <x:c r="D297" s="10" t="n">
        <x:v>0</x:v>
      </x:c>
      <x:c r="E297" s="8" t="n">
        <x:v>0</x:v>
      </x:c>
      <x:c r="F297" s="11" t="n">
        <x:v>0</x:v>
      </x:c>
      <x:c r="G297" s="7" t="str">
        <x:v>Commercial</x:v>
      </x:c>
      <x:c r="H297" s="7" t="str">
        <x:v>Hydraulic Pumps</x:v>
      </x:c>
      <x:c r="I297" s="7" t="n">
        <x:v>5</x:v>
      </x:c>
      <x:c r="J297" s="7" t="str">
        <x:v>/series/pvh/</x:v>
      </x:c>
      <x:c r="K297" s="7" t="str">
        <x:v>Covered</x:v>
      </x:c>
      <x:c r="L297" s="7" t="str">
        <x:v>Optimize existing page</x:v>
      </x:c>
      <x:c r="M297" s="7" t="str">
        <x:v>Series hub</x:v>
      </x:c>
      <x:c r="N297" s="7" t="n">
        <x:v>5</x:v>
      </x:c>
      <x:c r="O297" s="7" t="n">
        <x:f>IF(B297&gt;=1000,5,IF(B297&gt;=300,4,IF(B297&gt;=100,3,IF(B297&gt;=30,2,IF(B297&gt;=10,1,0)))))</x:f>
        <x:v>0</x:v>
      </x:c>
      <x:c r="P297" s="7" t="n">
        <x:f>IF(C297&gt;=5,4,IF(C297&gt;=2,3,IF(C297&gt;=1,2,IF(C297&gt;0,1,0))))</x:f>
        <x:v>0</x:v>
      </x:c>
      <x:c r="Q297" s="7" t="n">
        <x:f>N297*2+O297+P297+IF(F297&gt;=0.2,1,0)+IF(K297="Gap",2,0)-IF(I297&lt;=2,5,0)</x:f>
        <x:v>10</x:v>
      </x:c>
      <x:c r="R297" s="7" t="str">
        <x:f>IF(I297&lt;=2,"D",IF(Q297&gt;=15,"A",IF(Q297&gt;=11,"B",IF(Q297&gt;=7,"C","D"))))</x:f>
        <x:v>C</x:v>
      </x:c>
      <x:c r="S297" s="12" t="n">
        <x:f>B297*'Dashboard'!$B$11</x:f>
        <x:v>0</x:v>
      </x:c>
      <x:c r="T297" s="10" t="n">
        <x:f>S297*'Dashboard'!$D$11</x:f>
        <x:v>0</x:v>
      </x:c>
      <x:c r="U297" s="7" t="str">
        <x:v>Low-volume commercial long tail; retain only when real supply evidence is available.</x:v>
      </x:c>
    </x:row>
    <x:row r="298" ht="19" customHeight="1">
      <x:c r="A298" s="7" t="str">
        <x:v>pvh replacement</x:v>
      </x:c>
      <x:c r="B298" s="8" t="n">
        <x:v>0</x:v>
      </x:c>
      <x:c r="C298" s="9" t="n">
        <x:v>0</x:v>
      </x:c>
      <x:c r="D298" s="10" t="n">
        <x:v>0</x:v>
      </x:c>
      <x:c r="E298" s="8" t="n">
        <x:v>0</x:v>
      </x:c>
      <x:c r="F298" s="11" t="n">
        <x:v>0</x:v>
      </x:c>
      <x:c r="G298" s="7" t="str">
        <x:v>Commercial</x:v>
      </x:c>
      <x:c r="H298" s="7" t="str">
        <x:v>Replacement &amp; Cross-reference</x:v>
      </x:c>
      <x:c r="I298" s="7" t="n">
        <x:v>5</x:v>
      </x:c>
      <x:c r="J298" s="7" t="str">
        <x:v>/series/pvh/</x:v>
      </x:c>
      <x:c r="K298" s="7" t="str">
        <x:v>Covered</x:v>
      </x:c>
      <x:c r="L298" s="7" t="str">
        <x:v>Optimize existing page</x:v>
      </x:c>
      <x:c r="M298" s="7" t="str">
        <x:v>Series hub</x:v>
      </x:c>
      <x:c r="N298" s="7" t="n">
        <x:v>5</x:v>
      </x:c>
      <x:c r="O298" s="7" t="n">
        <x:f>IF(B298&gt;=1000,5,IF(B298&gt;=300,4,IF(B298&gt;=100,3,IF(B298&gt;=30,2,IF(B298&gt;=10,1,0)))))</x:f>
        <x:v>0</x:v>
      </x:c>
      <x:c r="P298" s="7" t="n">
        <x:f>IF(C298&gt;=5,4,IF(C298&gt;=2,3,IF(C298&gt;=1,2,IF(C298&gt;0,1,0))))</x:f>
        <x:v>0</x:v>
      </x:c>
      <x:c r="Q298" s="7" t="n">
        <x:f>N298*2+O298+P298+IF(F298&gt;=0.2,1,0)+IF(K298="Gap",2,0)-IF(I298&lt;=2,5,0)</x:f>
        <x:v>10</x:v>
      </x:c>
      <x:c r="R298" s="7" t="str">
        <x:f>IF(I298&lt;=2,"D",IF(Q298&gt;=15,"A",IF(Q298&gt;=11,"B",IF(Q298&gt;=7,"C","D"))))</x:f>
        <x:v>C</x:v>
      </x:c>
      <x:c r="S298" s="12" t="n">
        <x:f>B298*'Dashboard'!$B$11</x:f>
        <x:v>0</x:v>
      </x:c>
      <x:c r="T298" s="10" t="n">
        <x:f>S298*'Dashboard'!$D$11</x:f>
        <x:v>0</x:v>
      </x:c>
      <x:c r="U298" s="7" t="str">
        <x:v>Low-volume commercial long tail; retain only when real supply evidence is available.</x:v>
      </x:c>
    </x:row>
    <x:row r="299" ht="19" customHeight="1">
      <x:c r="A299" s="7" t="str">
        <x:v>pvh seal kit</x:v>
      </x:c>
      <x:c r="B299" s="8" t="n">
        <x:v>0</x:v>
      </x:c>
      <x:c r="C299" s="9" t="n">
        <x:v>0</x:v>
      </x:c>
      <x:c r="D299" s="10" t="n">
        <x:v>0</x:v>
      </x:c>
      <x:c r="E299" s="8" t="n">
        <x:v>0</x:v>
      </x:c>
      <x:c r="F299" s="11" t="n">
        <x:v>0</x:v>
      </x:c>
      <x:c r="G299" s="7" t="str">
        <x:v>Commercial</x:v>
      </x:c>
      <x:c r="H299" s="7" t="str">
        <x:v>Repair Kits &amp; Service Parts</x:v>
      </x:c>
      <x:c r="I299" s="7" t="n">
        <x:v>5</x:v>
      </x:c>
      <x:c r="J299" s="7" t="str">
        <x:v>/series/pvh/</x:v>
      </x:c>
      <x:c r="K299" s="7" t="str">
        <x:v>Covered</x:v>
      </x:c>
      <x:c r="L299" s="7" t="str">
        <x:v>Optimize existing page</x:v>
      </x:c>
      <x:c r="M299" s="7" t="str">
        <x:v>Series hub</x:v>
      </x:c>
      <x:c r="N299" s="7" t="n">
        <x:v>5</x:v>
      </x:c>
      <x:c r="O299" s="7" t="n">
        <x:f>IF(B299&gt;=1000,5,IF(B299&gt;=300,4,IF(B299&gt;=100,3,IF(B299&gt;=30,2,IF(B299&gt;=10,1,0)))))</x:f>
        <x:v>0</x:v>
      </x:c>
      <x:c r="P299" s="7" t="n">
        <x:f>IF(C299&gt;=5,4,IF(C299&gt;=2,3,IF(C299&gt;=1,2,IF(C299&gt;0,1,0))))</x:f>
        <x:v>0</x:v>
      </x:c>
      <x:c r="Q299" s="7" t="n">
        <x:f>N299*2+O299+P299+IF(F299&gt;=0.2,1,0)+IF(K299="Gap",2,0)-IF(I299&lt;=2,5,0)</x:f>
        <x:v>10</x:v>
      </x:c>
      <x:c r="R299" s="7" t="str">
        <x:f>IF(I299&lt;=2,"D",IF(Q299&gt;=15,"A",IF(Q299&gt;=11,"B",IF(Q299&gt;=7,"C","D"))))</x:f>
        <x:v>C</x:v>
      </x:c>
      <x:c r="S299" s="12" t="n">
        <x:f>B299*'Dashboard'!$B$11</x:f>
        <x:v>0</x:v>
      </x:c>
      <x:c r="T299" s="10" t="n">
        <x:f>S299*'Dashboard'!$D$11</x:f>
        <x:v>0</x:v>
      </x:c>
      <x:c r="U299" s="7" t="str">
        <x:v>Low-volume commercial long tail; retain only when real supply evidence is available.</x:v>
      </x:c>
    </x:row>
    <x:row r="300" ht="19" customHeight="1">
      <x:c r="A300" s="7" t="str">
        <x:v>pvh supplier</x:v>
      </x:c>
      <x:c r="B300" s="8" t="n">
        <x:v>0</x:v>
      </x:c>
      <x:c r="C300" s="9" t="n">
        <x:v>0</x:v>
      </x:c>
      <x:c r="D300" s="10" t="n">
        <x:v>0</x:v>
      </x:c>
      <x:c r="E300" s="8" t="n">
        <x:v>0</x:v>
      </x:c>
      <x:c r="F300" s="11" t="n">
        <x:v>0</x:v>
      </x:c>
      <x:c r="G300" s="7" t="str">
        <x:v>Transactional</x:v>
      </x:c>
      <x:c r="H300" s="7" t="str">
        <x:v>Hydraulic Pumps</x:v>
      </x:c>
      <x:c r="I300" s="7" t="n">
        <x:v>5</x:v>
      </x:c>
      <x:c r="J300" s="7" t="str">
        <x:v>/series/pvh/</x:v>
      </x:c>
      <x:c r="K300" s="7" t="str">
        <x:v>Covered</x:v>
      </x:c>
      <x:c r="L300" s="7" t="str">
        <x:v>Optimize existing page</x:v>
      </x:c>
      <x:c r="M300" s="7" t="str">
        <x:v>Series hub</x:v>
      </x:c>
      <x:c r="N300" s="7" t="n">
        <x:v>5</x:v>
      </x:c>
      <x:c r="O300" s="7" t="n">
        <x:f>IF(B300&gt;=1000,5,IF(B300&gt;=300,4,IF(B300&gt;=100,3,IF(B300&gt;=30,2,IF(B300&gt;=10,1,0)))))</x:f>
        <x:v>0</x:v>
      </x:c>
      <x:c r="P300" s="7" t="n">
        <x:f>IF(C300&gt;=5,4,IF(C300&gt;=2,3,IF(C300&gt;=1,2,IF(C300&gt;0,1,0))))</x:f>
        <x:v>0</x:v>
      </x:c>
      <x:c r="Q300" s="7" t="n">
        <x:f>N300*2+O300+P300+IF(F300&gt;=0.2,1,0)+IF(K300="Gap",2,0)-IF(I300&lt;=2,5,0)</x:f>
        <x:v>10</x:v>
      </x:c>
      <x:c r="R300" s="7" t="str">
        <x:f>IF(I300&lt;=2,"D",IF(Q300&gt;=15,"A",IF(Q300&gt;=11,"B",IF(Q300&gt;=7,"C","D"))))</x:f>
        <x:v>C</x:v>
      </x:c>
      <x:c r="S300" s="12" t="n">
        <x:f>B300*'Dashboard'!$B$11</x:f>
        <x:v>0</x:v>
      </x:c>
      <x:c r="T300" s="10" t="n">
        <x:f>S300*'Dashboard'!$D$11</x:f>
        <x:v>0</x:v>
      </x:c>
      <x:c r="U300" s="7" t="str">
        <x:v>Low-volume commercial long tail; retain only when real supply evidence is available.</x:v>
      </x:c>
    </x:row>
    <x:row r="301" ht="19" customHeight="1">
      <x:c r="A301" s="7" t="str">
        <x:v>r909152493</x:v>
      </x:c>
      <x:c r="B301" s="8" t="n">
        <x:v>0</x:v>
      </x:c>
      <x:c r="C301" s="9" t="n">
        <x:v>0</x:v>
      </x:c>
      <x:c r="D301" s="10" t="n">
        <x:v>0</x:v>
      </x:c>
      <x:c r="E301" s="8" t="n">
        <x:v>0</x:v>
      </x:c>
      <x:c r="F301" s="11" t="n">
        <x:v>0</x:v>
      </x:c>
      <x:c r="G301" s="7" t="str">
        <x:v>Product research</x:v>
      </x:c>
      <x:c r="H301" s="7" t="str">
        <x:v>Technical / Other</x:v>
      </x:c>
      <x:c r="I301" s="7" t="n">
        <x:v>5</x:v>
      </x:c>
      <x:c r="J301" s="7" t="str">
        <x:v>/models/rexroth-r909152493-seal-ring-a4vg90/</x:v>
      </x:c>
      <x:c r="K301" s="7" t="str">
        <x:v>Covered</x:v>
      </x:c>
      <x:c r="L301" s="7" t="str">
        <x:v>Optimize existing page</x:v>
      </x:c>
      <x:c r="M301" s="7" t="str">
        <x:v>Model record</x:v>
      </x:c>
      <x:c r="N301" s="7" t="n">
        <x:v>5</x:v>
      </x:c>
      <x:c r="O301" s="7" t="n">
        <x:f>IF(B301&gt;=1000,5,IF(B301&gt;=300,4,IF(B301&gt;=100,3,IF(B301&gt;=30,2,IF(B301&gt;=10,1,0)))))</x:f>
        <x:v>0</x:v>
      </x:c>
      <x:c r="P301" s="7" t="n">
        <x:f>IF(C301&gt;=5,4,IF(C301&gt;=2,3,IF(C301&gt;=1,2,IF(C301&gt;0,1,0))))</x:f>
        <x:v>0</x:v>
      </x:c>
      <x:c r="Q301" s="7" t="n">
        <x:f>N301*2+O301+P301+IF(F301&gt;=0.2,1,0)+IF(K301="Gap",2,0)-IF(I301&lt;=2,5,0)</x:f>
        <x:v>10</x:v>
      </x:c>
      <x:c r="R301" s="7" t="str">
        <x:f>IF(I301&lt;=2,"D",IF(Q301&gt;=15,"A",IF(Q301&gt;=11,"B",IF(Q301&gt;=7,"C","D"))))</x:f>
        <x:v>C</x:v>
      </x:c>
      <x:c r="S301" s="12" t="n">
        <x:f>B301*'Dashboard'!$B$11</x:f>
        <x:v>0</x:v>
      </x:c>
      <x:c r="T301" s="10" t="n">
        <x:f>S301*'Dashboard'!$D$11</x:f>
        <x:v>0</x:v>
      </x:c>
      <x:c r="U301" s="7" t="str">
        <x:v>Low-volume commercial long tail; retain only when real supply evidence is available.</x:v>
      </x:c>
    </x:row>
    <x:row r="302" ht="19" customHeight="1">
      <x:c r="A302" s="7" t="str">
        <x:v>r909152493 replacement</x:v>
      </x:c>
      <x:c r="B302" s="8" t="n">
        <x:v>0</x:v>
      </x:c>
      <x:c r="C302" s="9" t="n">
        <x:v>0</x:v>
      </x:c>
      <x:c r="D302" s="10" t="n">
        <x:v>0</x:v>
      </x:c>
      <x:c r="E302" s="8" t="n">
        <x:v>0</x:v>
      </x:c>
      <x:c r="F302" s="11" t="n">
        <x:v>0</x:v>
      </x:c>
      <x:c r="G302" s="7" t="str">
        <x:v>Commercial</x:v>
      </x:c>
      <x:c r="H302" s="7" t="str">
        <x:v>Replacement &amp; Cross-reference</x:v>
      </x:c>
      <x:c r="I302" s="7" t="n">
        <x:v>5</x:v>
      </x:c>
      <x:c r="J302" s="7" t="str">
        <x:v>/models/rexroth-r909152493-seal-ring-a4vg90/</x:v>
      </x:c>
      <x:c r="K302" s="7" t="str">
        <x:v>Covered</x:v>
      </x:c>
      <x:c r="L302" s="7" t="str">
        <x:v>Optimize existing page</x:v>
      </x:c>
      <x:c r="M302" s="7" t="str">
        <x:v>Model record</x:v>
      </x:c>
      <x:c r="N302" s="7" t="n">
        <x:v>5</x:v>
      </x:c>
      <x:c r="O302" s="7" t="n">
        <x:f>IF(B302&gt;=1000,5,IF(B302&gt;=300,4,IF(B302&gt;=100,3,IF(B302&gt;=30,2,IF(B302&gt;=10,1,0)))))</x:f>
        <x:v>0</x:v>
      </x:c>
      <x:c r="P302" s="7" t="n">
        <x:f>IF(C302&gt;=5,4,IF(C302&gt;=2,3,IF(C302&gt;=1,2,IF(C302&gt;0,1,0))))</x:f>
        <x:v>0</x:v>
      </x:c>
      <x:c r="Q302" s="7" t="n">
        <x:f>N302*2+O302+P302+IF(F302&gt;=0.2,1,0)+IF(K302="Gap",2,0)-IF(I302&lt;=2,5,0)</x:f>
        <x:v>10</x:v>
      </x:c>
      <x:c r="R302" s="7" t="str">
        <x:f>IF(I302&lt;=2,"D",IF(Q302&gt;=15,"A",IF(Q302&gt;=11,"B",IF(Q302&gt;=7,"C","D"))))</x:f>
        <x:v>C</x:v>
      </x:c>
      <x:c r="S302" s="12" t="n">
        <x:f>B302*'Dashboard'!$B$11</x:f>
        <x:v>0</x:v>
      </x:c>
      <x:c r="T302" s="10" t="n">
        <x:f>S302*'Dashboard'!$D$11</x:f>
        <x:v>0</x:v>
      </x:c>
      <x:c r="U302" s="7" t="str">
        <x:v>Low-volume commercial long tail; retain only when real supply evidence is available.</x:v>
      </x:c>
    </x:row>
    <x:row r="303" ht="19" customHeight="1">
      <x:c r="A303" s="7" t="str">
        <x:v>r909152493 seal kit</x:v>
      </x:c>
      <x:c r="B303" s="8" t="n">
        <x:v>0</x:v>
      </x:c>
      <x:c r="C303" s="9" t="n">
        <x:v>0</x:v>
      </x:c>
      <x:c r="D303" s="10" t="n">
        <x:v>0</x:v>
      </x:c>
      <x:c r="E303" s="8" t="n">
        <x:v>0</x:v>
      </x:c>
      <x:c r="F303" s="11" t="n">
        <x:v>0</x:v>
      </x:c>
      <x:c r="G303" s="7" t="str">
        <x:v>Commercial</x:v>
      </x:c>
      <x:c r="H303" s="7" t="str">
        <x:v>Repair Kits &amp; Service Parts</x:v>
      </x:c>
      <x:c r="I303" s="7" t="n">
        <x:v>5</x:v>
      </x:c>
      <x:c r="J303" s="7" t="str">
        <x:v>/models/rexroth-r909152493-seal-ring-a4vg90/</x:v>
      </x:c>
      <x:c r="K303" s="7" t="str">
        <x:v>Covered</x:v>
      </x:c>
      <x:c r="L303" s="7" t="str">
        <x:v>Optimize existing page</x:v>
      </x:c>
      <x:c r="M303" s="7" t="str">
        <x:v>Model record</x:v>
      </x:c>
      <x:c r="N303" s="7" t="n">
        <x:v>5</x:v>
      </x:c>
      <x:c r="O303" s="7" t="n">
        <x:f>IF(B303&gt;=1000,5,IF(B303&gt;=300,4,IF(B303&gt;=100,3,IF(B303&gt;=30,2,IF(B303&gt;=10,1,0)))))</x:f>
        <x:v>0</x:v>
      </x:c>
      <x:c r="P303" s="7" t="n">
        <x:f>IF(C303&gt;=5,4,IF(C303&gt;=2,3,IF(C303&gt;=1,2,IF(C303&gt;0,1,0))))</x:f>
        <x:v>0</x:v>
      </x:c>
      <x:c r="Q303" s="7" t="n">
        <x:f>N303*2+O303+P303+IF(F303&gt;=0.2,1,0)+IF(K303="Gap",2,0)-IF(I303&lt;=2,5,0)</x:f>
        <x:v>10</x:v>
      </x:c>
      <x:c r="R303" s="7" t="str">
        <x:f>IF(I303&lt;=2,"D",IF(Q303&gt;=15,"A",IF(Q303&gt;=11,"B",IF(Q303&gt;=7,"C","D"))))</x:f>
        <x:v>C</x:v>
      </x:c>
      <x:c r="S303" s="12" t="n">
        <x:f>B303*'Dashboard'!$B$11</x:f>
        <x:v>0</x:v>
      </x:c>
      <x:c r="T303" s="10" t="n">
        <x:f>S303*'Dashboard'!$D$11</x:f>
        <x:v>0</x:v>
      </x:c>
      <x:c r="U303" s="7" t="str">
        <x:v>Low-volume commercial long tail; retain only when real supply evidence is available.</x:v>
      </x:c>
    </x:row>
    <x:row r="304" ht="19" customHeight="1">
      <x:c r="A304" s="7" t="str">
        <x:v>r909152493 supplier</x:v>
      </x:c>
      <x:c r="B304" s="8" t="n">
        <x:v>0</x:v>
      </x:c>
      <x:c r="C304" s="9" t="n">
        <x:v>0</x:v>
      </x:c>
      <x:c r="D304" s="10" t="n">
        <x:v>0</x:v>
      </x:c>
      <x:c r="E304" s="8" t="n">
        <x:v>0</x:v>
      </x:c>
      <x:c r="F304" s="11" t="n">
        <x:v>0</x:v>
      </x:c>
      <x:c r="G304" s="7" t="str">
        <x:v>Transactional</x:v>
      </x:c>
      <x:c r="H304" s="7" t="str">
        <x:v>Technical / Other</x:v>
      </x:c>
      <x:c r="I304" s="7" t="n">
        <x:v>5</x:v>
      </x:c>
      <x:c r="J304" s="7" t="str">
        <x:v>/models/rexroth-r909152493-seal-ring-a4vg90/</x:v>
      </x:c>
      <x:c r="K304" s="7" t="str">
        <x:v>Covered</x:v>
      </x:c>
      <x:c r="L304" s="7" t="str">
        <x:v>Optimize existing page</x:v>
      </x:c>
      <x:c r="M304" s="7" t="str">
        <x:v>Model record</x:v>
      </x:c>
      <x:c r="N304" s="7" t="n">
        <x:v>5</x:v>
      </x:c>
      <x:c r="O304" s="7" t="n">
        <x:f>IF(B304&gt;=1000,5,IF(B304&gt;=300,4,IF(B304&gt;=100,3,IF(B304&gt;=30,2,IF(B304&gt;=10,1,0)))))</x:f>
        <x:v>0</x:v>
      </x:c>
      <x:c r="P304" s="7" t="n">
        <x:f>IF(C304&gt;=5,4,IF(C304&gt;=2,3,IF(C304&gt;=1,2,IF(C304&gt;0,1,0))))</x:f>
        <x:v>0</x:v>
      </x:c>
      <x:c r="Q304" s="7" t="n">
        <x:f>N304*2+O304+P304+IF(F304&gt;=0.2,1,0)+IF(K304="Gap",2,0)-IF(I304&lt;=2,5,0)</x:f>
        <x:v>10</x:v>
      </x:c>
      <x:c r="R304" s="7" t="str">
        <x:f>IF(I304&lt;=2,"D",IF(Q304&gt;=15,"A",IF(Q304&gt;=11,"B",IF(Q304&gt;=7,"C","D"))))</x:f>
        <x:v>C</x:v>
      </x:c>
      <x:c r="S304" s="12" t="n">
        <x:f>B304*'Dashboard'!$B$11</x:f>
        <x:v>0</x:v>
      </x:c>
      <x:c r="T304" s="10" t="n">
        <x:f>S304*'Dashboard'!$D$11</x:f>
        <x:v>0</x:v>
      </x:c>
      <x:c r="U304" s="7" t="str">
        <x:v>Low-volume commercial long tail; retain only when real supply evidence is available.</x:v>
      </x:c>
    </x:row>
    <x:row r="305" ht="19" customHeight="1">
      <x:c r="A305" s="7" t="str">
        <x:v>r910185973</x:v>
      </x:c>
      <x:c r="B305" s="8" t="n">
        <x:v>0</x:v>
      </x:c>
      <x:c r="C305" s="9" t="n">
        <x:v>0</x:v>
      </x:c>
      <x:c r="D305" s="10" t="n">
        <x:v>0</x:v>
      </x:c>
      <x:c r="E305" s="8" t="n">
        <x:v>0</x:v>
      </x:c>
      <x:c r="F305" s="11" t="n">
        <x:v>0</x:v>
      </x:c>
      <x:c r="G305" s="7" t="str">
        <x:v>Product research</x:v>
      </x:c>
      <x:c r="H305" s="7" t="str">
        <x:v>Technical / Other</x:v>
      </x:c>
      <x:c r="I305" s="7" t="n">
        <x:v>5</x:v>
      </x:c>
      <x:c r="J305" s="7" t="str">
        <x:v>/models/rexroth-r910185973-a10v18-hardware/</x:v>
      </x:c>
      <x:c r="K305" s="7" t="str">
        <x:v>Covered</x:v>
      </x:c>
      <x:c r="L305" s="7" t="str">
        <x:v>Optimize existing page</x:v>
      </x:c>
      <x:c r="M305" s="7" t="str">
        <x:v>Model record</x:v>
      </x:c>
      <x:c r="N305" s="7" t="n">
        <x:v>5</x:v>
      </x:c>
      <x:c r="O305" s="7" t="n">
        <x:f>IF(B305&gt;=1000,5,IF(B305&gt;=300,4,IF(B305&gt;=100,3,IF(B305&gt;=30,2,IF(B305&gt;=10,1,0)))))</x:f>
        <x:v>0</x:v>
      </x:c>
      <x:c r="P305" s="7" t="n">
        <x:f>IF(C305&gt;=5,4,IF(C305&gt;=2,3,IF(C305&gt;=1,2,IF(C305&gt;0,1,0))))</x:f>
        <x:v>0</x:v>
      </x:c>
      <x:c r="Q305" s="7" t="n">
        <x:f>N305*2+O305+P305+IF(F305&gt;=0.2,1,0)+IF(K305="Gap",2,0)-IF(I305&lt;=2,5,0)</x:f>
        <x:v>10</x:v>
      </x:c>
      <x:c r="R305" s="7" t="str">
        <x:f>IF(I305&lt;=2,"D",IF(Q305&gt;=15,"A",IF(Q305&gt;=11,"B",IF(Q305&gt;=7,"C","D"))))</x:f>
        <x:v>C</x:v>
      </x:c>
      <x:c r="S305" s="12" t="n">
        <x:f>B305*'Dashboard'!$B$11</x:f>
        <x:v>0</x:v>
      </x:c>
      <x:c r="T305" s="10" t="n">
        <x:f>S305*'Dashboard'!$D$11</x:f>
        <x:v>0</x:v>
      </x:c>
      <x:c r="U305" s="7" t="str">
        <x:v>Low-volume commercial long tail; retain only when real supply evidence is available.</x:v>
      </x:c>
    </x:row>
    <x:row r="306" ht="19" customHeight="1">
      <x:c r="A306" s="7" t="str">
        <x:v>r910185973 replacement</x:v>
      </x:c>
      <x:c r="B306" s="8" t="n">
        <x:v>0</x:v>
      </x:c>
      <x:c r="C306" s="9" t="n">
        <x:v>0</x:v>
      </x:c>
      <x:c r="D306" s="10" t="n">
        <x:v>0</x:v>
      </x:c>
      <x:c r="E306" s="8" t="n">
        <x:v>0</x:v>
      </x:c>
      <x:c r="F306" s="11" t="n">
        <x:v>0</x:v>
      </x:c>
      <x:c r="G306" s="7" t="str">
        <x:v>Commercial</x:v>
      </x:c>
      <x:c r="H306" s="7" t="str">
        <x:v>Replacement &amp; Cross-reference</x:v>
      </x:c>
      <x:c r="I306" s="7" t="n">
        <x:v>5</x:v>
      </x:c>
      <x:c r="J306" s="7" t="str">
        <x:v>/models/rexroth-r910185973-a10v18-hardware/</x:v>
      </x:c>
      <x:c r="K306" s="7" t="str">
        <x:v>Covered</x:v>
      </x:c>
      <x:c r="L306" s="7" t="str">
        <x:v>Optimize existing page</x:v>
      </x:c>
      <x:c r="M306" s="7" t="str">
        <x:v>Model record</x:v>
      </x:c>
      <x:c r="N306" s="7" t="n">
        <x:v>5</x:v>
      </x:c>
      <x:c r="O306" s="7" t="n">
        <x:f>IF(B306&gt;=1000,5,IF(B306&gt;=300,4,IF(B306&gt;=100,3,IF(B306&gt;=30,2,IF(B306&gt;=10,1,0)))))</x:f>
        <x:v>0</x:v>
      </x:c>
      <x:c r="P306" s="7" t="n">
        <x:f>IF(C306&gt;=5,4,IF(C306&gt;=2,3,IF(C306&gt;=1,2,IF(C306&gt;0,1,0))))</x:f>
        <x:v>0</x:v>
      </x:c>
      <x:c r="Q306" s="7" t="n">
        <x:f>N306*2+O306+P306+IF(F306&gt;=0.2,1,0)+IF(K306="Gap",2,0)-IF(I306&lt;=2,5,0)</x:f>
        <x:v>10</x:v>
      </x:c>
      <x:c r="R306" s="7" t="str">
        <x:f>IF(I306&lt;=2,"D",IF(Q306&gt;=15,"A",IF(Q306&gt;=11,"B",IF(Q306&gt;=7,"C","D"))))</x:f>
        <x:v>C</x:v>
      </x:c>
      <x:c r="S306" s="12" t="n">
        <x:f>B306*'Dashboard'!$B$11</x:f>
        <x:v>0</x:v>
      </x:c>
      <x:c r="T306" s="10" t="n">
        <x:f>S306*'Dashboard'!$D$11</x:f>
        <x:v>0</x:v>
      </x:c>
      <x:c r="U306" s="7" t="str">
        <x:v>Low-volume commercial long tail; retain only when real supply evidence is available.</x:v>
      </x:c>
    </x:row>
    <x:row r="307" ht="19" customHeight="1">
      <x:c r="A307" s="7" t="str">
        <x:v>r910185973 seal kit</x:v>
      </x:c>
      <x:c r="B307" s="8" t="n">
        <x:v>0</x:v>
      </x:c>
      <x:c r="C307" s="9" t="n">
        <x:v>0</x:v>
      </x:c>
      <x:c r="D307" s="10" t="n">
        <x:v>0</x:v>
      </x:c>
      <x:c r="E307" s="8" t="n">
        <x:v>0</x:v>
      </x:c>
      <x:c r="F307" s="11" t="n">
        <x:v>0</x:v>
      </x:c>
      <x:c r="G307" s="7" t="str">
        <x:v>Commercial</x:v>
      </x:c>
      <x:c r="H307" s="7" t="str">
        <x:v>Repair Kits &amp; Service Parts</x:v>
      </x:c>
      <x:c r="I307" s="7" t="n">
        <x:v>5</x:v>
      </x:c>
      <x:c r="J307" s="7" t="str">
        <x:v>/models/rexroth-r910185973-a10v18-hardware/</x:v>
      </x:c>
      <x:c r="K307" s="7" t="str">
        <x:v>Covered</x:v>
      </x:c>
      <x:c r="L307" s="7" t="str">
        <x:v>Optimize existing page</x:v>
      </x:c>
      <x:c r="M307" s="7" t="str">
        <x:v>Model record</x:v>
      </x:c>
      <x:c r="N307" s="7" t="n">
        <x:v>5</x:v>
      </x:c>
      <x:c r="O307" s="7" t="n">
        <x:f>IF(B307&gt;=1000,5,IF(B307&gt;=300,4,IF(B307&gt;=100,3,IF(B307&gt;=30,2,IF(B307&gt;=10,1,0)))))</x:f>
        <x:v>0</x:v>
      </x:c>
      <x:c r="P307" s="7" t="n">
        <x:f>IF(C307&gt;=5,4,IF(C307&gt;=2,3,IF(C307&gt;=1,2,IF(C307&gt;0,1,0))))</x:f>
        <x:v>0</x:v>
      </x:c>
      <x:c r="Q307" s="7" t="n">
        <x:f>N307*2+O307+P307+IF(F307&gt;=0.2,1,0)+IF(K307="Gap",2,0)-IF(I307&lt;=2,5,0)</x:f>
        <x:v>10</x:v>
      </x:c>
      <x:c r="R307" s="7" t="str">
        <x:f>IF(I307&lt;=2,"D",IF(Q307&gt;=15,"A",IF(Q307&gt;=11,"B",IF(Q307&gt;=7,"C","D"))))</x:f>
        <x:v>C</x:v>
      </x:c>
      <x:c r="S307" s="12" t="n">
        <x:f>B307*'Dashboard'!$B$11</x:f>
        <x:v>0</x:v>
      </x:c>
      <x:c r="T307" s="10" t="n">
        <x:f>S307*'Dashboard'!$D$11</x:f>
        <x:v>0</x:v>
      </x:c>
      <x:c r="U307" s="7" t="str">
        <x:v>Low-volume commercial long tail; retain only when real supply evidence is available.</x:v>
      </x:c>
    </x:row>
    <x:row r="308" ht="19" customHeight="1">
      <x:c r="A308" s="7" t="str">
        <x:v>r910185973 supplier</x:v>
      </x:c>
      <x:c r="B308" s="8" t="n">
        <x:v>0</x:v>
      </x:c>
      <x:c r="C308" s="9" t="n">
        <x:v>0</x:v>
      </x:c>
      <x:c r="D308" s="10" t="n">
        <x:v>0</x:v>
      </x:c>
      <x:c r="E308" s="8" t="n">
        <x:v>0</x:v>
      </x:c>
      <x:c r="F308" s="11" t="n">
        <x:v>0</x:v>
      </x:c>
      <x:c r="G308" s="7" t="str">
        <x:v>Transactional</x:v>
      </x:c>
      <x:c r="H308" s="7" t="str">
        <x:v>Technical / Other</x:v>
      </x:c>
      <x:c r="I308" s="7" t="n">
        <x:v>5</x:v>
      </x:c>
      <x:c r="J308" s="7" t="str">
        <x:v>/models/rexroth-r910185973-a10v18-hardware/</x:v>
      </x:c>
      <x:c r="K308" s="7" t="str">
        <x:v>Covered</x:v>
      </x:c>
      <x:c r="L308" s="7" t="str">
        <x:v>Optimize existing page</x:v>
      </x:c>
      <x:c r="M308" s="7" t="str">
        <x:v>Model record</x:v>
      </x:c>
      <x:c r="N308" s="7" t="n">
        <x:v>5</x:v>
      </x:c>
      <x:c r="O308" s="7" t="n">
        <x:f>IF(B308&gt;=1000,5,IF(B308&gt;=300,4,IF(B308&gt;=100,3,IF(B308&gt;=30,2,IF(B308&gt;=10,1,0)))))</x:f>
        <x:v>0</x:v>
      </x:c>
      <x:c r="P308" s="7" t="n">
        <x:f>IF(C308&gt;=5,4,IF(C308&gt;=2,3,IF(C308&gt;=1,2,IF(C308&gt;0,1,0))))</x:f>
        <x:v>0</x:v>
      </x:c>
      <x:c r="Q308" s="7" t="n">
        <x:f>N308*2+O308+P308+IF(F308&gt;=0.2,1,0)+IF(K308="Gap",2,0)-IF(I308&lt;=2,5,0)</x:f>
        <x:v>10</x:v>
      </x:c>
      <x:c r="R308" s="7" t="str">
        <x:f>IF(I308&lt;=2,"D",IF(Q308&gt;=15,"A",IF(Q308&gt;=11,"B",IF(Q308&gt;=7,"C","D"))))</x:f>
        <x:v>C</x:v>
      </x:c>
      <x:c r="S308" s="12" t="n">
        <x:f>B308*'Dashboard'!$B$11</x:f>
        <x:v>0</x:v>
      </x:c>
      <x:c r="T308" s="10" t="n">
        <x:f>S308*'Dashboard'!$D$11</x:f>
        <x:v>0</x:v>
      </x:c>
      <x:c r="U308" s="7" t="str">
        <x:v>Low-volume commercial long tail; retain only when real supply evidence is available.</x:v>
      </x:c>
    </x:row>
    <x:row r="309" ht="19" customHeight="1">
      <x:c r="A309" s="7" t="str">
        <x:v>radial piston motor aftermarket</x:v>
      </x:c>
      <x:c r="B309" s="8" t="n">
        <x:v>0</x:v>
      </x:c>
      <x:c r="C309" s="9" t="n">
        <x:v>0</x:v>
      </x:c>
      <x:c r="D309" s="10" t="n">
        <x:v>0</x:v>
      </x:c>
      <x:c r="E309" s="8" t="n">
        <x:v>0</x:v>
      </x:c>
      <x:c r="F309" s="11" t="n">
        <x:v>0</x:v>
      </x:c>
      <x:c r="G309" s="7" t="str">
        <x:v>Commercial</x:v>
      </x:c>
      <x:c r="H309" s="7" t="str">
        <x:v>Replacement &amp; Cross-reference</x:v>
      </x:c>
      <x:c r="I309" s="7" t="n">
        <x:v>3</x:v>
      </x:c>
      <x:c r="J309" s="7" t="str">
        <x:v>/products/hydraulic-motors/radial-piston-motors/</x:v>
      </x:c>
      <x:c r="K309" s="7" t="str">
        <x:v>Covered</x:v>
      </x:c>
      <x:c r="L309" s="7" t="str">
        <x:v>Optimize existing page</x:v>
      </x:c>
      <x:c r="M309" s="7" t="str">
        <x:v>Alternative / cross-reference</x:v>
      </x:c>
      <x:c r="N309" s="7" t="n">
        <x:v>5</x:v>
      </x:c>
      <x:c r="O309" s="7" t="n">
        <x:f>IF(B309&gt;=1000,5,IF(B309&gt;=300,4,IF(B309&gt;=100,3,IF(B309&gt;=30,2,IF(B309&gt;=10,1,0)))))</x:f>
        <x:v>0</x:v>
      </x:c>
      <x:c r="P309" s="7" t="n">
        <x:f>IF(C309&gt;=5,4,IF(C309&gt;=2,3,IF(C309&gt;=1,2,IF(C309&gt;0,1,0))))</x:f>
        <x:v>0</x:v>
      </x:c>
      <x:c r="Q309" s="7" t="n">
        <x:f>N309*2+O309+P309+IF(F309&gt;=0.2,1,0)+IF(K309="Gap",2,0)-IF(I309&lt;=2,5,0)</x:f>
        <x:v>10</x:v>
      </x:c>
      <x:c r="R309" s="7" t="str">
        <x:f>IF(I309&lt;=2,"D",IF(Q309&gt;=15,"A",IF(Q309&gt;=11,"B",IF(Q309&gt;=7,"C","D"))))</x:f>
        <x:v>C</x:v>
      </x:c>
      <x:c r="S309" s="12" t="n">
        <x:f>B309*'Dashboard'!$B$11</x:f>
        <x:v>0</x:v>
      </x:c>
      <x:c r="T309" s="10" t="n">
        <x:f>S309*'Dashboard'!$D$11</x:f>
        <x:v>0</x:v>
      </x:c>
      <x:c r="U309" s="7" t="str">
        <x:v>Low-volume commercial long tail; retain only when real supply evidence is available.</x:v>
      </x:c>
    </x:row>
    <x:row r="310" ht="19" customHeight="1">
      <x:c r="A310" s="7" t="str">
        <x:v>radial piston motor in stock</x:v>
      </x:c>
      <x:c r="B310" s="8" t="n">
        <x:v>0</x:v>
      </x:c>
      <x:c r="C310" s="9" t="n">
        <x:v>0</x:v>
      </x:c>
      <x:c r="D310" s="10" t="n">
        <x:v>0</x:v>
      </x:c>
      <x:c r="E310" s="8" t="n">
        <x:v>0</x:v>
      </x:c>
      <x:c r="F310" s="11" t="n">
        <x:v>0</x:v>
      </x:c>
      <x:c r="G310" s="7" t="str">
        <x:v>Transactional</x:v>
      </x:c>
      <x:c r="H310" s="7" t="str">
        <x:v>Hydraulic Motors</x:v>
      </x:c>
      <x:c r="I310" s="7" t="n">
        <x:v>3</x:v>
      </x:c>
      <x:c r="J310" s="7" t="str">
        <x:v>/products/hydraulic-motors/radial-piston-motors/</x:v>
      </x:c>
      <x:c r="K310" s="7" t="str">
        <x:v>Covered</x:v>
      </x:c>
      <x:c r="L310" s="7" t="str">
        <x:v>Optimize existing page</x:v>
      </x:c>
      <x:c r="M310" s="7" t="str">
        <x:v>Product / category</x:v>
      </x:c>
      <x:c r="N310" s="7" t="n">
        <x:v>5</x:v>
      </x:c>
      <x:c r="O310" s="7" t="n">
        <x:f>IF(B310&gt;=1000,5,IF(B310&gt;=300,4,IF(B310&gt;=100,3,IF(B310&gt;=30,2,IF(B310&gt;=10,1,0)))))</x:f>
        <x:v>0</x:v>
      </x:c>
      <x:c r="P310" s="7" t="n">
        <x:f>IF(C310&gt;=5,4,IF(C310&gt;=2,3,IF(C310&gt;=1,2,IF(C310&gt;0,1,0))))</x:f>
        <x:v>0</x:v>
      </x:c>
      <x:c r="Q310" s="7" t="n">
        <x:f>N310*2+O310+P310+IF(F310&gt;=0.2,1,0)+IF(K310="Gap",2,0)-IF(I310&lt;=2,5,0)</x:f>
        <x:v>10</x:v>
      </x:c>
      <x:c r="R310" s="7" t="str">
        <x:f>IF(I310&lt;=2,"D",IF(Q310&gt;=15,"A",IF(Q310&gt;=11,"B",IF(Q310&gt;=7,"C","D"))))</x:f>
        <x:v>C</x:v>
      </x:c>
      <x:c r="S310" s="12" t="n">
        <x:f>B310*'Dashboard'!$B$11</x:f>
        <x:v>0</x:v>
      </x:c>
      <x:c r="T310" s="10" t="n">
        <x:f>S310*'Dashboard'!$D$11</x:f>
        <x:v>0</x:v>
      </x:c>
      <x:c r="U310" s="7" t="str">
        <x:v>Low-volume commercial long tail; retain only when real supply evidence is available.</x:v>
      </x:c>
    </x:row>
    <x:row r="311" ht="19" customHeight="1">
      <x:c r="A311" s="7" t="str">
        <x:v>radial piston motor manufacturer</x:v>
      </x:c>
      <x:c r="B311" s="8" t="n">
        <x:v>0</x:v>
      </x:c>
      <x:c r="C311" s="9" t="n">
        <x:v>0</x:v>
      </x:c>
      <x:c r="D311" s="10" t="n">
        <x:v>0</x:v>
      </x:c>
      <x:c r="E311" s="8" t="n">
        <x:v>0</x:v>
      </x:c>
      <x:c r="F311" s="11" t="n">
        <x:v>0</x:v>
      </x:c>
      <x:c r="G311" s="7" t="str">
        <x:v>Transactional</x:v>
      </x:c>
      <x:c r="H311" s="7" t="str">
        <x:v>Hydraulic Motors</x:v>
      </x:c>
      <x:c r="I311" s="7" t="n">
        <x:v>3</x:v>
      </x:c>
      <x:c r="J311" s="7" t="str">
        <x:v>/products/hydraulic-motors/radial-piston-motors/</x:v>
      </x:c>
      <x:c r="K311" s="7" t="str">
        <x:v>Covered</x:v>
      </x:c>
      <x:c r="L311" s="7" t="str">
        <x:v>Optimize existing page</x:v>
      </x:c>
      <x:c r="M311" s="7" t="str">
        <x:v>Product / category</x:v>
      </x:c>
      <x:c r="N311" s="7" t="n">
        <x:v>5</x:v>
      </x:c>
      <x:c r="O311" s="7" t="n">
        <x:f>IF(B311&gt;=1000,5,IF(B311&gt;=300,4,IF(B311&gt;=100,3,IF(B311&gt;=30,2,IF(B311&gt;=10,1,0)))))</x:f>
        <x:v>0</x:v>
      </x:c>
      <x:c r="P311" s="7" t="n">
        <x:f>IF(C311&gt;=5,4,IF(C311&gt;=2,3,IF(C311&gt;=1,2,IF(C311&gt;0,1,0))))</x:f>
        <x:v>0</x:v>
      </x:c>
      <x:c r="Q311" s="7" t="n">
        <x:f>N311*2+O311+P311+IF(F311&gt;=0.2,1,0)+IF(K311="Gap",2,0)-IF(I311&lt;=2,5,0)</x:f>
        <x:v>10</x:v>
      </x:c>
      <x:c r="R311" s="7" t="str">
        <x:f>IF(I311&lt;=2,"D",IF(Q311&gt;=15,"A",IF(Q311&gt;=11,"B",IF(Q311&gt;=7,"C","D"))))</x:f>
        <x:v>C</x:v>
      </x:c>
      <x:c r="S311" s="12" t="n">
        <x:f>B311*'Dashboard'!$B$11</x:f>
        <x:v>0</x:v>
      </x:c>
      <x:c r="T311" s="10" t="n">
        <x:f>S311*'Dashboard'!$D$11</x:f>
        <x:v>0</x:v>
      </x:c>
      <x:c r="U311" s="7" t="str">
        <x:v>Low-volume commercial long tail; retain only when real supply evidence is available.</x:v>
      </x:c>
    </x:row>
    <x:row r="312" ht="19" customHeight="1">
      <x:c r="A312" s="7" t="str">
        <x:v>radial piston motor replacement</x:v>
      </x:c>
      <x:c r="B312" s="8" t="n">
        <x:v>0</x:v>
      </x:c>
      <x:c r="C312" s="9" t="n">
        <x:v>0</x:v>
      </x:c>
      <x:c r="D312" s="10" t="n">
        <x:v>0</x:v>
      </x:c>
      <x:c r="E312" s="8" t="n">
        <x:v>0</x:v>
      </x:c>
      <x:c r="F312" s="11" t="n">
        <x:v>0</x:v>
      </x:c>
      <x:c r="G312" s="7" t="str">
        <x:v>Commercial</x:v>
      </x:c>
      <x:c r="H312" s="7" t="str">
        <x:v>Replacement &amp; Cross-reference</x:v>
      </x:c>
      <x:c r="I312" s="7" t="n">
        <x:v>3</x:v>
      </x:c>
      <x:c r="J312" s="7" t="str">
        <x:v>/products/hydraulic-motors/radial-piston-motors/</x:v>
      </x:c>
      <x:c r="K312" s="7" t="str">
        <x:v>Covered</x:v>
      </x:c>
      <x:c r="L312" s="7" t="str">
        <x:v>Optimize existing page</x:v>
      </x:c>
      <x:c r="M312" s="7" t="str">
        <x:v>Alternative / cross-reference</x:v>
      </x:c>
      <x:c r="N312" s="7" t="n">
        <x:v>5</x:v>
      </x:c>
      <x:c r="O312" s="7" t="n">
        <x:f>IF(B312&gt;=1000,5,IF(B312&gt;=300,4,IF(B312&gt;=100,3,IF(B312&gt;=30,2,IF(B312&gt;=10,1,0)))))</x:f>
        <x:v>0</x:v>
      </x:c>
      <x:c r="P312" s="7" t="n">
        <x:f>IF(C312&gt;=5,4,IF(C312&gt;=2,3,IF(C312&gt;=1,2,IF(C312&gt;0,1,0))))</x:f>
        <x:v>0</x:v>
      </x:c>
      <x:c r="Q312" s="7" t="n">
        <x:f>N312*2+O312+P312+IF(F312&gt;=0.2,1,0)+IF(K312="Gap",2,0)-IF(I312&lt;=2,5,0)</x:f>
        <x:v>10</x:v>
      </x:c>
      <x:c r="R312" s="7" t="str">
        <x:f>IF(I312&lt;=2,"D",IF(Q312&gt;=15,"A",IF(Q312&gt;=11,"B",IF(Q312&gt;=7,"C","D"))))</x:f>
        <x:v>C</x:v>
      </x:c>
      <x:c r="S312" s="12" t="n">
        <x:f>B312*'Dashboard'!$B$11</x:f>
        <x:v>0</x:v>
      </x:c>
      <x:c r="T312" s="10" t="n">
        <x:f>S312*'Dashboard'!$D$11</x:f>
        <x:v>0</x:v>
      </x:c>
      <x:c r="U312" s="7" t="str">
        <x:v>Low-volume commercial long tail; retain only when real supply evidence is available.</x:v>
      </x:c>
    </x:row>
    <x:row r="313" ht="19" customHeight="1">
      <x:c r="A313" s="7" t="str">
        <x:v>radial piston motor supplier</x:v>
      </x:c>
      <x:c r="B313" s="8" t="n">
        <x:v>0</x:v>
      </x:c>
      <x:c r="C313" s="9" t="n">
        <x:v>0</x:v>
      </x:c>
      <x:c r="D313" s="10" t="n">
        <x:v>0</x:v>
      </x:c>
      <x:c r="E313" s="8" t="n">
        <x:v>0</x:v>
      </x:c>
      <x:c r="F313" s="11" t="n">
        <x:v>0</x:v>
      </x:c>
      <x:c r="G313" s="7" t="str">
        <x:v>Transactional</x:v>
      </x:c>
      <x:c r="H313" s="7" t="str">
        <x:v>Hydraulic Motors</x:v>
      </x:c>
      <x:c r="I313" s="7" t="n">
        <x:v>3</x:v>
      </x:c>
      <x:c r="J313" s="7" t="str">
        <x:v>/products/hydraulic-motors/radial-piston-motors/</x:v>
      </x:c>
      <x:c r="K313" s="7" t="str">
        <x:v>Covered</x:v>
      </x:c>
      <x:c r="L313" s="7" t="str">
        <x:v>Optimize existing page</x:v>
      </x:c>
      <x:c r="M313" s="7" t="str">
        <x:v>Product / category</x:v>
      </x:c>
      <x:c r="N313" s="7" t="n">
        <x:v>5</x:v>
      </x:c>
      <x:c r="O313" s="7" t="n">
        <x:f>IF(B313&gt;=1000,5,IF(B313&gt;=300,4,IF(B313&gt;=100,3,IF(B313&gt;=30,2,IF(B313&gt;=10,1,0)))))</x:f>
        <x:v>0</x:v>
      </x:c>
      <x:c r="P313" s="7" t="n">
        <x:f>IF(C313&gt;=5,4,IF(C313&gt;=2,3,IF(C313&gt;=1,2,IF(C313&gt;0,1,0))))</x:f>
        <x:v>0</x:v>
      </x:c>
      <x:c r="Q313" s="7" t="n">
        <x:f>N313*2+O313+P313+IF(F313&gt;=0.2,1,0)+IF(K313="Gap",2,0)-IF(I313&lt;=2,5,0)</x:f>
        <x:v>10</x:v>
      </x:c>
      <x:c r="R313" s="7" t="str">
        <x:f>IF(I313&lt;=2,"D",IF(Q313&gt;=15,"A",IF(Q313&gt;=11,"B",IF(Q313&gt;=7,"C","D"))))</x:f>
        <x:v>C</x:v>
      </x:c>
      <x:c r="S313" s="12" t="n">
        <x:f>B313*'Dashboard'!$B$11</x:f>
        <x:v>0</x:v>
      </x:c>
      <x:c r="T313" s="10" t="n">
        <x:f>S313*'Dashboard'!$D$11</x:f>
        <x:v>0</x:v>
      </x:c>
      <x:c r="U313" s="7" t="str">
        <x:v>Low-volume commercial long tail; retain only when real supply evidence is available.</x:v>
      </x:c>
    </x:row>
    <x:row r="314" ht="19" customHeight="1">
      <x:c r="A314" s="7" t="str">
        <x:v>rsap2d12</x:v>
      </x:c>
      <x:c r="B314" s="8" t="n">
        <x:v>0</x:v>
      </x:c>
      <x:c r="C314" s="9" t="n">
        <x:v>0</x:v>
      </x:c>
      <x:c r="D314" s="10" t="n">
        <x:v>0</x:v>
      </x:c>
      <x:c r="E314" s="8" t="n">
        <x:v>0</x:v>
      </x:c>
      <x:c r="F314" s="11" t="n">
        <x:v>0</x:v>
      </x:c>
      <x:c r="G314" s="7" t="str">
        <x:v>Product research</x:v>
      </x:c>
      <x:c r="H314" s="7" t="str">
        <x:v>Technical / Other</x:v>
      </x:c>
      <x:c r="I314" s="7" t="n">
        <x:v>5</x:v>
      </x:c>
      <x:c r="J314" s="7" t="str">
        <x:v>/models/rexroth-rsap2d12-seal-kit/</x:v>
      </x:c>
      <x:c r="K314" s="7" t="str">
        <x:v>Covered</x:v>
      </x:c>
      <x:c r="L314" s="7" t="str">
        <x:v>Optimize existing page</x:v>
      </x:c>
      <x:c r="M314" s="7" t="str">
        <x:v>Model record</x:v>
      </x:c>
      <x:c r="N314" s="7" t="n">
        <x:v>5</x:v>
      </x:c>
      <x:c r="O314" s="7" t="n">
        <x:f>IF(B314&gt;=1000,5,IF(B314&gt;=300,4,IF(B314&gt;=100,3,IF(B314&gt;=30,2,IF(B314&gt;=10,1,0)))))</x:f>
        <x:v>0</x:v>
      </x:c>
      <x:c r="P314" s="7" t="n">
        <x:f>IF(C314&gt;=5,4,IF(C314&gt;=2,3,IF(C314&gt;=1,2,IF(C314&gt;0,1,0))))</x:f>
        <x:v>0</x:v>
      </x:c>
      <x:c r="Q314" s="7" t="n">
        <x:f>N314*2+O314+P314+IF(F314&gt;=0.2,1,0)+IF(K314="Gap",2,0)-IF(I314&lt;=2,5,0)</x:f>
        <x:v>10</x:v>
      </x:c>
      <x:c r="R314" s="7" t="str">
        <x:f>IF(I314&lt;=2,"D",IF(Q314&gt;=15,"A",IF(Q314&gt;=11,"B",IF(Q314&gt;=7,"C","D"))))</x:f>
        <x:v>C</x:v>
      </x:c>
      <x:c r="S314" s="12" t="n">
        <x:f>B314*'Dashboard'!$B$11</x:f>
        <x:v>0</x:v>
      </x:c>
      <x:c r="T314" s="10" t="n">
        <x:f>S314*'Dashboard'!$D$11</x:f>
        <x:v>0</x:v>
      </x:c>
      <x:c r="U314" s="7" t="str">
        <x:v>Low-volume commercial long tail; retain only when real supply evidence is available.</x:v>
      </x:c>
    </x:row>
    <x:row r="315" ht="19" customHeight="1">
      <x:c r="A315" s="7" t="str">
        <x:v>rsap2d12 replacement</x:v>
      </x:c>
      <x:c r="B315" s="8" t="n">
        <x:v>0</x:v>
      </x:c>
      <x:c r="C315" s="9" t="n">
        <x:v>0</x:v>
      </x:c>
      <x:c r="D315" s="10" t="n">
        <x:v>0</x:v>
      </x:c>
      <x:c r="E315" s="8" t="n">
        <x:v>0</x:v>
      </x:c>
      <x:c r="F315" s="11" t="n">
        <x:v>0</x:v>
      </x:c>
      <x:c r="G315" s="7" t="str">
        <x:v>Commercial</x:v>
      </x:c>
      <x:c r="H315" s="7" t="str">
        <x:v>Replacement &amp; Cross-reference</x:v>
      </x:c>
      <x:c r="I315" s="7" t="n">
        <x:v>5</x:v>
      </x:c>
      <x:c r="J315" s="7" t="str">
        <x:v>/models/rexroth-rsap2d12-seal-kit/</x:v>
      </x:c>
      <x:c r="K315" s="7" t="str">
        <x:v>Covered</x:v>
      </x:c>
      <x:c r="L315" s="7" t="str">
        <x:v>Optimize existing page</x:v>
      </x:c>
      <x:c r="M315" s="7" t="str">
        <x:v>Model record</x:v>
      </x:c>
      <x:c r="N315" s="7" t="n">
        <x:v>5</x:v>
      </x:c>
      <x:c r="O315" s="7" t="n">
        <x:f>IF(B315&gt;=1000,5,IF(B315&gt;=300,4,IF(B315&gt;=100,3,IF(B315&gt;=30,2,IF(B315&gt;=10,1,0)))))</x:f>
        <x:v>0</x:v>
      </x:c>
      <x:c r="P315" s="7" t="n">
        <x:f>IF(C315&gt;=5,4,IF(C315&gt;=2,3,IF(C315&gt;=1,2,IF(C315&gt;0,1,0))))</x:f>
        <x:v>0</x:v>
      </x:c>
      <x:c r="Q315" s="7" t="n">
        <x:f>N315*2+O315+P315+IF(F315&gt;=0.2,1,0)+IF(K315="Gap",2,0)-IF(I315&lt;=2,5,0)</x:f>
        <x:v>10</x:v>
      </x:c>
      <x:c r="R315" s="7" t="str">
        <x:f>IF(I315&lt;=2,"D",IF(Q315&gt;=15,"A",IF(Q315&gt;=11,"B",IF(Q315&gt;=7,"C","D"))))</x:f>
        <x:v>C</x:v>
      </x:c>
      <x:c r="S315" s="12" t="n">
        <x:f>B315*'Dashboard'!$B$11</x:f>
        <x:v>0</x:v>
      </x:c>
      <x:c r="T315" s="10" t="n">
        <x:f>S315*'Dashboard'!$D$11</x:f>
        <x:v>0</x:v>
      </x:c>
      <x:c r="U315" s="7" t="str">
        <x:v>Low-volume commercial long tail; retain only when real supply evidence is available.</x:v>
      </x:c>
    </x:row>
    <x:row r="316" ht="19" customHeight="1">
      <x:c r="A316" s="7" t="str">
        <x:v>rsap2d12 seal kit</x:v>
      </x:c>
      <x:c r="B316" s="8" t="n">
        <x:v>0</x:v>
      </x:c>
      <x:c r="C316" s="9" t="n">
        <x:v>0</x:v>
      </x:c>
      <x:c r="D316" s="10" t="n">
        <x:v>0</x:v>
      </x:c>
      <x:c r="E316" s="8" t="n">
        <x:v>0</x:v>
      </x:c>
      <x:c r="F316" s="11" t="n">
        <x:v>0</x:v>
      </x:c>
      <x:c r="G316" s="7" t="str">
        <x:v>Commercial</x:v>
      </x:c>
      <x:c r="H316" s="7" t="str">
        <x:v>Repair Kits &amp; Service Parts</x:v>
      </x:c>
      <x:c r="I316" s="7" t="n">
        <x:v>5</x:v>
      </x:c>
      <x:c r="J316" s="7" t="str">
        <x:v>/models/rexroth-rsap2d12-seal-kit/</x:v>
      </x:c>
      <x:c r="K316" s="7" t="str">
        <x:v>Covered</x:v>
      </x:c>
      <x:c r="L316" s="7" t="str">
        <x:v>Optimize existing page</x:v>
      </x:c>
      <x:c r="M316" s="7" t="str">
        <x:v>Model record</x:v>
      </x:c>
      <x:c r="N316" s="7" t="n">
        <x:v>5</x:v>
      </x:c>
      <x:c r="O316" s="7" t="n">
        <x:f>IF(B316&gt;=1000,5,IF(B316&gt;=300,4,IF(B316&gt;=100,3,IF(B316&gt;=30,2,IF(B316&gt;=10,1,0)))))</x:f>
        <x:v>0</x:v>
      </x:c>
      <x:c r="P316" s="7" t="n">
        <x:f>IF(C316&gt;=5,4,IF(C316&gt;=2,3,IF(C316&gt;=1,2,IF(C316&gt;0,1,0))))</x:f>
        <x:v>0</x:v>
      </x:c>
      <x:c r="Q316" s="7" t="n">
        <x:f>N316*2+O316+P316+IF(F316&gt;=0.2,1,0)+IF(K316="Gap",2,0)-IF(I316&lt;=2,5,0)</x:f>
        <x:v>10</x:v>
      </x:c>
      <x:c r="R316" s="7" t="str">
        <x:f>IF(I316&lt;=2,"D",IF(Q316&gt;=15,"A",IF(Q316&gt;=11,"B",IF(Q316&gt;=7,"C","D"))))</x:f>
        <x:v>C</x:v>
      </x:c>
      <x:c r="S316" s="12" t="n">
        <x:f>B316*'Dashboard'!$B$11</x:f>
        <x:v>0</x:v>
      </x:c>
      <x:c r="T316" s="10" t="n">
        <x:f>S316*'Dashboard'!$D$11</x:f>
        <x:v>0</x:v>
      </x:c>
      <x:c r="U316" s="7" t="str">
        <x:v>Low-volume commercial long tail; retain only when real supply evidence is available.</x:v>
      </x:c>
    </x:row>
    <x:row r="317" ht="19" customHeight="1">
      <x:c r="A317" s="7" t="str">
        <x:v>rsap2d12 supplier</x:v>
      </x:c>
      <x:c r="B317" s="8" t="n">
        <x:v>0</x:v>
      </x:c>
      <x:c r="C317" s="9" t="n">
        <x:v>0</x:v>
      </x:c>
      <x:c r="D317" s="10" t="n">
        <x:v>0</x:v>
      </x:c>
      <x:c r="E317" s="8" t="n">
        <x:v>0</x:v>
      </x:c>
      <x:c r="F317" s="11" t="n">
        <x:v>0</x:v>
      </x:c>
      <x:c r="G317" s="7" t="str">
        <x:v>Transactional</x:v>
      </x:c>
      <x:c r="H317" s="7" t="str">
        <x:v>Technical / Other</x:v>
      </x:c>
      <x:c r="I317" s="7" t="n">
        <x:v>5</x:v>
      </x:c>
      <x:c r="J317" s="7" t="str">
        <x:v>/models/rexroth-rsap2d12-seal-kit/</x:v>
      </x:c>
      <x:c r="K317" s="7" t="str">
        <x:v>Covered</x:v>
      </x:c>
      <x:c r="L317" s="7" t="str">
        <x:v>Optimize existing page</x:v>
      </x:c>
      <x:c r="M317" s="7" t="str">
        <x:v>Model record</x:v>
      </x:c>
      <x:c r="N317" s="7" t="n">
        <x:v>5</x:v>
      </x:c>
      <x:c r="O317" s="7" t="n">
        <x:f>IF(B317&gt;=1000,5,IF(B317&gt;=300,4,IF(B317&gt;=100,3,IF(B317&gt;=30,2,IF(B317&gt;=10,1,0)))))</x:f>
        <x:v>0</x:v>
      </x:c>
      <x:c r="P317" s="7" t="n">
        <x:f>IF(C317&gt;=5,4,IF(C317&gt;=2,3,IF(C317&gt;=1,2,IF(C317&gt;0,1,0))))</x:f>
        <x:v>0</x:v>
      </x:c>
      <x:c r="Q317" s="7" t="n">
        <x:f>N317*2+O317+P317+IF(F317&gt;=0.2,1,0)+IF(K317="Gap",2,0)-IF(I317&lt;=2,5,0)</x:f>
        <x:v>10</x:v>
      </x:c>
      <x:c r="R317" s="7" t="str">
        <x:f>IF(I317&lt;=2,"D",IF(Q317&gt;=15,"A",IF(Q317&gt;=11,"B",IF(Q317&gt;=7,"C","D"))))</x:f>
        <x:v>C</x:v>
      </x:c>
      <x:c r="S317" s="12" t="n">
        <x:f>B317*'Dashboard'!$B$11</x:f>
        <x:v>0</x:v>
      </x:c>
      <x:c r="T317" s="10" t="n">
        <x:f>S317*'Dashboard'!$D$11</x:f>
        <x:v>0</x:v>
      </x:c>
      <x:c r="U317" s="7" t="str">
        <x:v>Low-volume commercial long tail; retain only when real supply evidence is available.</x:v>
      </x:c>
    </x:row>
    <x:row r="318" ht="19" customHeight="1">
      <x:c r="A318" s="7" t="str">
        <x:v>solenoid directional valve aftermarket</x:v>
      </x:c>
      <x:c r="B318" s="8" t="n">
        <x:v>0</x:v>
      </x:c>
      <x:c r="C318" s="9" t="n">
        <x:v>0</x:v>
      </x:c>
      <x:c r="D318" s="10" t="n">
        <x:v>0</x:v>
      </x:c>
      <x:c r="E318" s="8" t="n">
        <x:v>0</x:v>
      </x:c>
      <x:c r="F318" s="11" t="n">
        <x:v>0</x:v>
      </x:c>
      <x:c r="G318" s="7" t="str">
        <x:v>Commercial</x:v>
      </x:c>
      <x:c r="H318" s="7" t="str">
        <x:v>Replacement &amp; Cross-reference</x:v>
      </x:c>
      <x:c r="I318" s="7" t="n">
        <x:v>3</x:v>
      </x:c>
      <x:c r="J318" s="7" t="str">
        <x:v>/products/hydraulic-valves/solenoid-directional-valves/</x:v>
      </x:c>
      <x:c r="K318" s="7" t="str">
        <x:v>Covered</x:v>
      </x:c>
      <x:c r="L318" s="7" t="str">
        <x:v>Optimize existing page</x:v>
      </x:c>
      <x:c r="M318" s="7" t="str">
        <x:v>Alternative / cross-reference</x:v>
      </x:c>
      <x:c r="N318" s="7" t="n">
        <x:v>5</x:v>
      </x:c>
      <x:c r="O318" s="7" t="n">
        <x:f>IF(B318&gt;=1000,5,IF(B318&gt;=300,4,IF(B318&gt;=100,3,IF(B318&gt;=30,2,IF(B318&gt;=10,1,0)))))</x:f>
        <x:v>0</x:v>
      </x:c>
      <x:c r="P318" s="7" t="n">
        <x:f>IF(C318&gt;=5,4,IF(C318&gt;=2,3,IF(C318&gt;=1,2,IF(C318&gt;0,1,0))))</x:f>
        <x:v>0</x:v>
      </x:c>
      <x:c r="Q318" s="7" t="n">
        <x:f>N318*2+O318+P318+IF(F318&gt;=0.2,1,0)+IF(K318="Gap",2,0)-IF(I318&lt;=2,5,0)</x:f>
        <x:v>10</x:v>
      </x:c>
      <x:c r="R318" s="7" t="str">
        <x:f>IF(I318&lt;=2,"D",IF(Q318&gt;=15,"A",IF(Q318&gt;=11,"B",IF(Q318&gt;=7,"C","D"))))</x:f>
        <x:v>C</x:v>
      </x:c>
      <x:c r="S318" s="12" t="n">
        <x:f>B318*'Dashboard'!$B$11</x:f>
        <x:v>0</x:v>
      </x:c>
      <x:c r="T318" s="10" t="n">
        <x:f>S318*'Dashboard'!$D$11</x:f>
        <x:v>0</x:v>
      </x:c>
      <x:c r="U318" s="7" t="str">
        <x:v>Low-volume commercial long tail; retain only when real supply evidence is available.</x:v>
      </x:c>
    </x:row>
    <x:row r="319" ht="19" customHeight="1">
      <x:c r="A319" s="7" t="str">
        <x:v>solenoid directional valve in stock</x:v>
      </x:c>
      <x:c r="B319" s="8" t="n">
        <x:v>0</x:v>
      </x:c>
      <x:c r="C319" s="9" t="n">
        <x:v>0</x:v>
      </x:c>
      <x:c r="D319" s="10" t="n">
        <x:v>0</x:v>
      </x:c>
      <x:c r="E319" s="8" t="n">
        <x:v>0</x:v>
      </x:c>
      <x:c r="F319" s="11" t="n">
        <x:v>0</x:v>
      </x:c>
      <x:c r="G319" s="7" t="str">
        <x:v>Transactional</x:v>
      </x:c>
      <x:c r="H319" s="7" t="str">
        <x:v>Hydraulic Valves</x:v>
      </x:c>
      <x:c r="I319" s="7" t="n">
        <x:v>3</x:v>
      </x:c>
      <x:c r="J319" s="7" t="str">
        <x:v>/products/hydraulic-valves/solenoid-directional-valves/</x:v>
      </x:c>
      <x:c r="K319" s="7" t="str">
        <x:v>Covered</x:v>
      </x:c>
      <x:c r="L319" s="7" t="str">
        <x:v>Optimize existing page</x:v>
      </x:c>
      <x:c r="M319" s="7" t="str">
        <x:v>Product / category</x:v>
      </x:c>
      <x:c r="N319" s="7" t="n">
        <x:v>5</x:v>
      </x:c>
      <x:c r="O319" s="7" t="n">
        <x:f>IF(B319&gt;=1000,5,IF(B319&gt;=300,4,IF(B319&gt;=100,3,IF(B319&gt;=30,2,IF(B319&gt;=10,1,0)))))</x:f>
        <x:v>0</x:v>
      </x:c>
      <x:c r="P319" s="7" t="n">
        <x:f>IF(C319&gt;=5,4,IF(C319&gt;=2,3,IF(C319&gt;=1,2,IF(C319&gt;0,1,0))))</x:f>
        <x:v>0</x:v>
      </x:c>
      <x:c r="Q319" s="7" t="n">
        <x:f>N319*2+O319+P319+IF(F319&gt;=0.2,1,0)+IF(K319="Gap",2,0)-IF(I319&lt;=2,5,0)</x:f>
        <x:v>10</x:v>
      </x:c>
      <x:c r="R319" s="7" t="str">
        <x:f>IF(I319&lt;=2,"D",IF(Q319&gt;=15,"A",IF(Q319&gt;=11,"B",IF(Q319&gt;=7,"C","D"))))</x:f>
        <x:v>C</x:v>
      </x:c>
      <x:c r="S319" s="12" t="n">
        <x:f>B319*'Dashboard'!$B$11</x:f>
        <x:v>0</x:v>
      </x:c>
      <x:c r="T319" s="10" t="n">
        <x:f>S319*'Dashboard'!$D$11</x:f>
        <x:v>0</x:v>
      </x:c>
      <x:c r="U319" s="7" t="str">
        <x:v>Low-volume commercial long tail; retain only when real supply evidence is available.</x:v>
      </x:c>
    </x:row>
    <x:row r="320" ht="19" customHeight="1">
      <x:c r="A320" s="7" t="str">
        <x:v>solenoid directional valve manufacturer</x:v>
      </x:c>
      <x:c r="B320" s="8" t="n">
        <x:v>0</x:v>
      </x:c>
      <x:c r="C320" s="9" t="n">
        <x:v>0</x:v>
      </x:c>
      <x:c r="D320" s="10" t="n">
        <x:v>0</x:v>
      </x:c>
      <x:c r="E320" s="8" t="n">
        <x:v>0</x:v>
      </x:c>
      <x:c r="F320" s="11" t="n">
        <x:v>0</x:v>
      </x:c>
      <x:c r="G320" s="7" t="str">
        <x:v>Transactional</x:v>
      </x:c>
      <x:c r="H320" s="7" t="str">
        <x:v>Hydraulic Valves</x:v>
      </x:c>
      <x:c r="I320" s="7" t="n">
        <x:v>3</x:v>
      </x:c>
      <x:c r="J320" s="7" t="str">
        <x:v>/products/hydraulic-valves/solenoid-directional-valves/</x:v>
      </x:c>
      <x:c r="K320" s="7" t="str">
        <x:v>Covered</x:v>
      </x:c>
      <x:c r="L320" s="7" t="str">
        <x:v>Optimize existing page</x:v>
      </x:c>
      <x:c r="M320" s="7" t="str">
        <x:v>Product / category</x:v>
      </x:c>
      <x:c r="N320" s="7" t="n">
        <x:v>5</x:v>
      </x:c>
      <x:c r="O320" s="7" t="n">
        <x:f>IF(B320&gt;=1000,5,IF(B320&gt;=300,4,IF(B320&gt;=100,3,IF(B320&gt;=30,2,IF(B320&gt;=10,1,0)))))</x:f>
        <x:v>0</x:v>
      </x:c>
      <x:c r="P320" s="7" t="n">
        <x:f>IF(C320&gt;=5,4,IF(C320&gt;=2,3,IF(C320&gt;=1,2,IF(C320&gt;0,1,0))))</x:f>
        <x:v>0</x:v>
      </x:c>
      <x:c r="Q320" s="7" t="n">
        <x:f>N320*2+O320+P320+IF(F320&gt;=0.2,1,0)+IF(K320="Gap",2,0)-IF(I320&lt;=2,5,0)</x:f>
        <x:v>10</x:v>
      </x:c>
      <x:c r="R320" s="7" t="str">
        <x:f>IF(I320&lt;=2,"D",IF(Q320&gt;=15,"A",IF(Q320&gt;=11,"B",IF(Q320&gt;=7,"C","D"))))</x:f>
        <x:v>C</x:v>
      </x:c>
      <x:c r="S320" s="12" t="n">
        <x:f>B320*'Dashboard'!$B$11</x:f>
        <x:v>0</x:v>
      </x:c>
      <x:c r="T320" s="10" t="n">
        <x:f>S320*'Dashboard'!$D$11</x:f>
        <x:v>0</x:v>
      </x:c>
      <x:c r="U320" s="7" t="str">
        <x:v>Low-volume commercial long tail; retain only when real supply evidence is available.</x:v>
      </x:c>
    </x:row>
    <x:row r="321" ht="19" customHeight="1">
      <x:c r="A321" s="7" t="str">
        <x:v>solenoid directional valve replacement</x:v>
      </x:c>
      <x:c r="B321" s="8" t="n">
        <x:v>0</x:v>
      </x:c>
      <x:c r="C321" s="9" t="n">
        <x:v>0</x:v>
      </x:c>
      <x:c r="D321" s="10" t="n">
        <x:v>0</x:v>
      </x:c>
      <x:c r="E321" s="8" t="n">
        <x:v>0</x:v>
      </x:c>
      <x:c r="F321" s="11" t="n">
        <x:v>0</x:v>
      </x:c>
      <x:c r="G321" s="7" t="str">
        <x:v>Commercial</x:v>
      </x:c>
      <x:c r="H321" s="7" t="str">
        <x:v>Replacement &amp; Cross-reference</x:v>
      </x:c>
      <x:c r="I321" s="7" t="n">
        <x:v>3</x:v>
      </x:c>
      <x:c r="J321" s="7" t="str">
        <x:v>/products/hydraulic-valves/solenoid-directional-valves/</x:v>
      </x:c>
      <x:c r="K321" s="7" t="str">
        <x:v>Covered</x:v>
      </x:c>
      <x:c r="L321" s="7" t="str">
        <x:v>Optimize existing page</x:v>
      </x:c>
      <x:c r="M321" s="7" t="str">
        <x:v>Alternative / cross-reference</x:v>
      </x:c>
      <x:c r="N321" s="7" t="n">
        <x:v>5</x:v>
      </x:c>
      <x:c r="O321" s="7" t="n">
        <x:f>IF(B321&gt;=1000,5,IF(B321&gt;=300,4,IF(B321&gt;=100,3,IF(B321&gt;=30,2,IF(B321&gt;=10,1,0)))))</x:f>
        <x:v>0</x:v>
      </x:c>
      <x:c r="P321" s="7" t="n">
        <x:f>IF(C321&gt;=5,4,IF(C321&gt;=2,3,IF(C321&gt;=1,2,IF(C321&gt;0,1,0))))</x:f>
        <x:v>0</x:v>
      </x:c>
      <x:c r="Q321" s="7" t="n">
        <x:f>N321*2+O321+P321+IF(F321&gt;=0.2,1,0)+IF(K321="Gap",2,0)-IF(I321&lt;=2,5,0)</x:f>
        <x:v>10</x:v>
      </x:c>
      <x:c r="R321" s="7" t="str">
        <x:f>IF(I321&lt;=2,"D",IF(Q321&gt;=15,"A",IF(Q321&gt;=11,"B",IF(Q321&gt;=7,"C","D"))))</x:f>
        <x:v>C</x:v>
      </x:c>
      <x:c r="S321" s="12" t="n">
        <x:f>B321*'Dashboard'!$B$11</x:f>
        <x:v>0</x:v>
      </x:c>
      <x:c r="T321" s="10" t="n">
        <x:f>S321*'Dashboard'!$D$11</x:f>
        <x:v>0</x:v>
      </x:c>
      <x:c r="U321" s="7" t="str">
        <x:v>Low-volume commercial long tail; retain only when real supply evidence is available.</x:v>
      </x:c>
    </x:row>
    <x:row r="322" ht="19" customHeight="1">
      <x:c r="A322" s="7" t="str">
        <x:v>solenoid directional valve supplier</x:v>
      </x:c>
      <x:c r="B322" s="8" t="n">
        <x:v>0</x:v>
      </x:c>
      <x:c r="C322" s="9" t="n">
        <x:v>0</x:v>
      </x:c>
      <x:c r="D322" s="10" t="n">
        <x:v>0</x:v>
      </x:c>
      <x:c r="E322" s="8" t="n">
        <x:v>0</x:v>
      </x:c>
      <x:c r="F322" s="11" t="n">
        <x:v>0</x:v>
      </x:c>
      <x:c r="G322" s="7" t="str">
        <x:v>Transactional</x:v>
      </x:c>
      <x:c r="H322" s="7" t="str">
        <x:v>Hydraulic Valves</x:v>
      </x:c>
      <x:c r="I322" s="7" t="n">
        <x:v>3</x:v>
      </x:c>
      <x:c r="J322" s="7" t="str">
        <x:v>/products/hydraulic-valves/solenoid-directional-valves/</x:v>
      </x:c>
      <x:c r="K322" s="7" t="str">
        <x:v>Covered</x:v>
      </x:c>
      <x:c r="L322" s="7" t="str">
        <x:v>Optimize existing page</x:v>
      </x:c>
      <x:c r="M322" s="7" t="str">
        <x:v>Product / category</x:v>
      </x:c>
      <x:c r="N322" s="7" t="n">
        <x:v>5</x:v>
      </x:c>
      <x:c r="O322" s="7" t="n">
        <x:f>IF(B322&gt;=1000,5,IF(B322&gt;=300,4,IF(B322&gt;=100,3,IF(B322&gt;=30,2,IF(B322&gt;=10,1,0)))))</x:f>
        <x:v>0</x:v>
      </x:c>
      <x:c r="P322" s="7" t="n">
        <x:f>IF(C322&gt;=5,4,IF(C322&gt;=2,3,IF(C322&gt;=1,2,IF(C322&gt;0,1,0))))</x:f>
        <x:v>0</x:v>
      </x:c>
      <x:c r="Q322" s="7" t="n">
        <x:f>N322*2+O322+P322+IF(F322&gt;=0.2,1,0)+IF(K322="Gap",2,0)-IF(I322&lt;=2,5,0)</x:f>
        <x:v>10</x:v>
      </x:c>
      <x:c r="R322" s="7" t="str">
        <x:f>IF(I322&lt;=2,"D",IF(Q322&gt;=15,"A",IF(Q322&gt;=11,"B",IF(Q322&gt;=7,"C","D"))))</x:f>
        <x:v>C</x:v>
      </x:c>
      <x:c r="S322" s="12" t="n">
        <x:f>B322*'Dashboard'!$B$11</x:f>
        <x:v>0</x:v>
      </x:c>
      <x:c r="T322" s="10" t="n">
        <x:f>S322*'Dashboard'!$D$11</x:f>
        <x:v>0</x:v>
      </x:c>
      <x:c r="U322" s="7" t="str">
        <x:v>Low-volume commercial long tail; retain only when real supply evidence is available.</x:v>
      </x:c>
    </x:row>
    <x:row r="323" ht="19" customHeight="1">
      <x:c r="A323" s="7" t="str">
        <x:v>t5d equivalent</x:v>
      </x:c>
      <x:c r="B323" s="8" t="n">
        <x:v>0</x:v>
      </x:c>
      <x:c r="C323" s="9" t="n">
        <x:v>0</x:v>
      </x:c>
      <x:c r="D323" s="10" t="n">
        <x:v>0</x:v>
      </x:c>
      <x:c r="E323" s="8" t="n">
        <x:v>0</x:v>
      </x:c>
      <x:c r="F323" s="11" t="n">
        <x:v>0</x:v>
      </x:c>
      <x:c r="G323" s="7" t="str">
        <x:v>Commercial</x:v>
      </x:c>
      <x:c r="H323" s="7" t="str">
        <x:v>Replacement &amp; Cross-reference</x:v>
      </x:c>
      <x:c r="I323" s="7" t="n">
        <x:v>5</x:v>
      </x:c>
      <x:c r="J323" s="7" t="str">
        <x:v>/series/t5d/</x:v>
      </x:c>
      <x:c r="K323" s="7" t="str">
        <x:v>Covered</x:v>
      </x:c>
      <x:c r="L323" s="7" t="str">
        <x:v>Optimize existing page</x:v>
      </x:c>
      <x:c r="M323" s="7" t="str">
        <x:v>Series hub</x:v>
      </x:c>
      <x:c r="N323" s="7" t="n">
        <x:v>5</x:v>
      </x:c>
      <x:c r="O323" s="7" t="n">
        <x:f>IF(B323&gt;=1000,5,IF(B323&gt;=300,4,IF(B323&gt;=100,3,IF(B323&gt;=30,2,IF(B323&gt;=10,1,0)))))</x:f>
        <x:v>0</x:v>
      </x:c>
      <x:c r="P323" s="7" t="n">
        <x:f>IF(C323&gt;=5,4,IF(C323&gt;=2,3,IF(C323&gt;=1,2,IF(C323&gt;0,1,0))))</x:f>
        <x:v>0</x:v>
      </x:c>
      <x:c r="Q323" s="7" t="n">
        <x:f>N323*2+O323+P323+IF(F323&gt;=0.2,1,0)+IF(K323="Gap",2,0)-IF(I323&lt;=2,5,0)</x:f>
        <x:v>10</x:v>
      </x:c>
      <x:c r="R323" s="7" t="str">
        <x:f>IF(I323&lt;=2,"D",IF(Q323&gt;=15,"A",IF(Q323&gt;=11,"B",IF(Q323&gt;=7,"C","D"))))</x:f>
        <x:v>C</x:v>
      </x:c>
      <x:c r="S323" s="12" t="n">
        <x:f>B323*'Dashboard'!$B$11</x:f>
        <x:v>0</x:v>
      </x:c>
      <x:c r="T323" s="10" t="n">
        <x:f>S323*'Dashboard'!$D$11</x:f>
        <x:v>0</x:v>
      </x:c>
      <x:c r="U323" s="7" t="str">
        <x:v>Low-volume commercial long tail; retain only when real supply evidence is available.</x:v>
      </x:c>
    </x:row>
    <x:row r="324" ht="19" customHeight="1">
      <x:c r="A324" s="7" t="str">
        <x:v>t5d parts</x:v>
      </x:c>
      <x:c r="B324" s="8" t="n">
        <x:v>0</x:v>
      </x:c>
      <x:c r="C324" s="9" t="n">
        <x:v>0</x:v>
      </x:c>
      <x:c r="D324" s="10" t="n">
        <x:v>0</x:v>
      </x:c>
      <x:c r="E324" s="8" t="n">
        <x:v>0</x:v>
      </x:c>
      <x:c r="F324" s="11" t="n">
        <x:v>0</x:v>
      </x:c>
      <x:c r="G324" s="7" t="str">
        <x:v>Commercial</x:v>
      </x:c>
      <x:c r="H324" s="7" t="str">
        <x:v>Technical / Other</x:v>
      </x:c>
      <x:c r="I324" s="7" t="n">
        <x:v>5</x:v>
      </x:c>
      <x:c r="J324" s="7" t="str">
        <x:v>/series/t5d/</x:v>
      </x:c>
      <x:c r="K324" s="7" t="str">
        <x:v>Covered</x:v>
      </x:c>
      <x:c r="L324" s="7" t="str">
        <x:v>Optimize existing page</x:v>
      </x:c>
      <x:c r="M324" s="7" t="str">
        <x:v>Series hub</x:v>
      </x:c>
      <x:c r="N324" s="7" t="n">
        <x:v>5</x:v>
      </x:c>
      <x:c r="O324" s="7" t="n">
        <x:f>IF(B324&gt;=1000,5,IF(B324&gt;=300,4,IF(B324&gt;=100,3,IF(B324&gt;=30,2,IF(B324&gt;=10,1,0)))))</x:f>
        <x:v>0</x:v>
      </x:c>
      <x:c r="P324" s="7" t="n">
        <x:f>IF(C324&gt;=5,4,IF(C324&gt;=2,3,IF(C324&gt;=1,2,IF(C324&gt;0,1,0))))</x:f>
        <x:v>0</x:v>
      </x:c>
      <x:c r="Q324" s="7" t="n">
        <x:f>N324*2+O324+P324+IF(F324&gt;=0.2,1,0)+IF(K324="Gap",2,0)-IF(I324&lt;=2,5,0)</x:f>
        <x:v>10</x:v>
      </x:c>
      <x:c r="R324" s="7" t="str">
        <x:f>IF(I324&lt;=2,"D",IF(Q324&gt;=15,"A",IF(Q324&gt;=11,"B",IF(Q324&gt;=7,"C","D"))))</x:f>
        <x:v>C</x:v>
      </x:c>
      <x:c r="S324" s="12" t="n">
        <x:f>B324*'Dashboard'!$B$11</x:f>
        <x:v>0</x:v>
      </x:c>
      <x:c r="T324" s="10" t="n">
        <x:f>S324*'Dashboard'!$D$11</x:f>
        <x:v>0</x:v>
      </x:c>
      <x:c r="U324" s="7" t="str">
        <x:v>Low-volume commercial long tail; retain only when real supply evidence is available.</x:v>
      </x:c>
    </x:row>
    <x:row r="325" ht="19" customHeight="1">
      <x:c r="A325" s="7" t="str">
        <x:v>t5d replacement</x:v>
      </x:c>
      <x:c r="B325" s="8" t="n">
        <x:v>0</x:v>
      </x:c>
      <x:c r="C325" s="9" t="n">
        <x:v>0</x:v>
      </x:c>
      <x:c r="D325" s="10" t="n">
        <x:v>0</x:v>
      </x:c>
      <x:c r="E325" s="8" t="n">
        <x:v>0</x:v>
      </x:c>
      <x:c r="F325" s="11" t="n">
        <x:v>0</x:v>
      </x:c>
      <x:c r="G325" s="7" t="str">
        <x:v>Commercial</x:v>
      </x:c>
      <x:c r="H325" s="7" t="str">
        <x:v>Replacement &amp; Cross-reference</x:v>
      </x:c>
      <x:c r="I325" s="7" t="n">
        <x:v>5</x:v>
      </x:c>
      <x:c r="J325" s="7" t="str">
        <x:v>/series/t5d/</x:v>
      </x:c>
      <x:c r="K325" s="7" t="str">
        <x:v>Covered</x:v>
      </x:c>
      <x:c r="L325" s="7" t="str">
        <x:v>Optimize existing page</x:v>
      </x:c>
      <x:c r="M325" s="7" t="str">
        <x:v>Series hub</x:v>
      </x:c>
      <x:c r="N325" s="7" t="n">
        <x:v>5</x:v>
      </x:c>
      <x:c r="O325" s="7" t="n">
        <x:f>IF(B325&gt;=1000,5,IF(B325&gt;=300,4,IF(B325&gt;=100,3,IF(B325&gt;=30,2,IF(B325&gt;=10,1,0)))))</x:f>
        <x:v>0</x:v>
      </x:c>
      <x:c r="P325" s="7" t="n">
        <x:f>IF(C325&gt;=5,4,IF(C325&gt;=2,3,IF(C325&gt;=1,2,IF(C325&gt;0,1,0))))</x:f>
        <x:v>0</x:v>
      </x:c>
      <x:c r="Q325" s="7" t="n">
        <x:f>N325*2+O325+P325+IF(F325&gt;=0.2,1,0)+IF(K325="Gap",2,0)-IF(I325&lt;=2,5,0)</x:f>
        <x:v>10</x:v>
      </x:c>
      <x:c r="R325" s="7" t="str">
        <x:f>IF(I325&lt;=2,"D",IF(Q325&gt;=15,"A",IF(Q325&gt;=11,"B",IF(Q325&gt;=7,"C","D"))))</x:f>
        <x:v>C</x:v>
      </x:c>
      <x:c r="S325" s="12" t="n">
        <x:f>B325*'Dashboard'!$B$11</x:f>
        <x:v>0</x:v>
      </x:c>
      <x:c r="T325" s="10" t="n">
        <x:f>S325*'Dashboard'!$D$11</x:f>
        <x:v>0</x:v>
      </x:c>
      <x:c r="U325" s="7" t="str">
        <x:v>Low-volume commercial long tail; retain only when real supply evidence is available.</x:v>
      </x:c>
    </x:row>
    <x:row r="326" ht="19" customHeight="1">
      <x:c r="A326" s="7" t="str">
        <x:v>t5d seal kit</x:v>
      </x:c>
      <x:c r="B326" s="8" t="n">
        <x:v>0</x:v>
      </x:c>
      <x:c r="C326" s="9" t="n">
        <x:v>0</x:v>
      </x:c>
      <x:c r="D326" s="10" t="n">
        <x:v>0</x:v>
      </x:c>
      <x:c r="E326" s="8" t="n">
        <x:v>0</x:v>
      </x:c>
      <x:c r="F326" s="11" t="n">
        <x:v>0</x:v>
      </x:c>
      <x:c r="G326" s="7" t="str">
        <x:v>Commercial</x:v>
      </x:c>
      <x:c r="H326" s="7" t="str">
        <x:v>Repair Kits &amp; Service Parts</x:v>
      </x:c>
      <x:c r="I326" s="7" t="n">
        <x:v>5</x:v>
      </x:c>
      <x:c r="J326" s="7" t="str">
        <x:v>/series/t5d/</x:v>
      </x:c>
      <x:c r="K326" s="7" t="str">
        <x:v>Covered</x:v>
      </x:c>
      <x:c r="L326" s="7" t="str">
        <x:v>Optimize existing page</x:v>
      </x:c>
      <x:c r="M326" s="7" t="str">
        <x:v>Series hub</x:v>
      </x:c>
      <x:c r="N326" s="7" t="n">
        <x:v>5</x:v>
      </x:c>
      <x:c r="O326" s="7" t="n">
        <x:f>IF(B326&gt;=1000,5,IF(B326&gt;=300,4,IF(B326&gt;=100,3,IF(B326&gt;=30,2,IF(B326&gt;=10,1,0)))))</x:f>
        <x:v>0</x:v>
      </x:c>
      <x:c r="P326" s="7" t="n">
        <x:f>IF(C326&gt;=5,4,IF(C326&gt;=2,3,IF(C326&gt;=1,2,IF(C326&gt;0,1,0))))</x:f>
        <x:v>0</x:v>
      </x:c>
      <x:c r="Q326" s="7" t="n">
        <x:f>N326*2+O326+P326+IF(F326&gt;=0.2,1,0)+IF(K326="Gap",2,0)-IF(I326&lt;=2,5,0)</x:f>
        <x:v>10</x:v>
      </x:c>
      <x:c r="R326" s="7" t="str">
        <x:f>IF(I326&lt;=2,"D",IF(Q326&gt;=15,"A",IF(Q326&gt;=11,"B",IF(Q326&gt;=7,"C","D"))))</x:f>
        <x:v>C</x:v>
      </x:c>
      <x:c r="S326" s="12" t="n">
        <x:f>B326*'Dashboard'!$B$11</x:f>
        <x:v>0</x:v>
      </x:c>
      <x:c r="T326" s="10" t="n">
        <x:f>S326*'Dashboard'!$D$11</x:f>
        <x:v>0</x:v>
      </x:c>
      <x:c r="U326" s="7" t="str">
        <x:v>Low-volume commercial long tail; retain only when real supply evidence is available.</x:v>
      </x:c>
    </x:row>
    <x:row r="327" ht="19" customHeight="1">
      <x:c r="A327" s="7" t="str">
        <x:v>t5d supplier</x:v>
      </x:c>
      <x:c r="B327" s="8" t="n">
        <x:v>0</x:v>
      </x:c>
      <x:c r="C327" s="9" t="n">
        <x:v>0</x:v>
      </x:c>
      <x:c r="D327" s="10" t="n">
        <x:v>0</x:v>
      </x:c>
      <x:c r="E327" s="8" t="n">
        <x:v>0</x:v>
      </x:c>
      <x:c r="F327" s="11" t="n">
        <x:v>0</x:v>
      </x:c>
      <x:c r="G327" s="7" t="str">
        <x:v>Transactional</x:v>
      </x:c>
      <x:c r="H327" s="7" t="str">
        <x:v>Technical / Other</x:v>
      </x:c>
      <x:c r="I327" s="7" t="n">
        <x:v>5</x:v>
      </x:c>
      <x:c r="J327" s="7" t="str">
        <x:v>/series/t5d/</x:v>
      </x:c>
      <x:c r="K327" s="7" t="str">
        <x:v>Covered</x:v>
      </x:c>
      <x:c r="L327" s="7" t="str">
        <x:v>Optimize existing page</x:v>
      </x:c>
      <x:c r="M327" s="7" t="str">
        <x:v>Series hub</x:v>
      </x:c>
      <x:c r="N327" s="7" t="n">
        <x:v>5</x:v>
      </x:c>
      <x:c r="O327" s="7" t="n">
        <x:f>IF(B327&gt;=1000,5,IF(B327&gt;=300,4,IF(B327&gt;=100,3,IF(B327&gt;=30,2,IF(B327&gt;=10,1,0)))))</x:f>
        <x:v>0</x:v>
      </x:c>
      <x:c r="P327" s="7" t="n">
        <x:f>IF(C327&gt;=5,4,IF(C327&gt;=2,3,IF(C327&gt;=1,2,IF(C327&gt;0,1,0))))</x:f>
        <x:v>0</x:v>
      </x:c>
      <x:c r="Q327" s="7" t="n">
        <x:f>N327*2+O327+P327+IF(F327&gt;=0.2,1,0)+IF(K327="Gap",2,0)-IF(I327&lt;=2,5,0)</x:f>
        <x:v>10</x:v>
      </x:c>
      <x:c r="R327" s="7" t="str">
        <x:f>IF(I327&lt;=2,"D",IF(Q327&gt;=15,"A",IF(Q327&gt;=11,"B",IF(Q327&gt;=7,"C","D"))))</x:f>
        <x:v>C</x:v>
      </x:c>
      <x:c r="S327" s="12" t="n">
        <x:f>B327*'Dashboard'!$B$11</x:f>
        <x:v>0</x:v>
      </x:c>
      <x:c r="T327" s="10" t="n">
        <x:f>S327*'Dashboard'!$D$11</x:f>
        <x:v>0</x:v>
      </x:c>
      <x:c r="U327" s="7" t="str">
        <x:v>Low-volume commercial long tail; retain only when real supply evidence is available.</x:v>
      </x:c>
    </x:row>
    <x:row r="328" ht="19" customHeight="1">
      <x:c r="A328" s="7" t="str">
        <x:v>t6cc equivalent</x:v>
      </x:c>
      <x:c r="B328" s="8" t="n">
        <x:v>0</x:v>
      </x:c>
      <x:c r="C328" s="9" t="n">
        <x:v>0</x:v>
      </x:c>
      <x:c r="D328" s="10" t="n">
        <x:v>0</x:v>
      </x:c>
      <x:c r="E328" s="8" t="n">
        <x:v>0</x:v>
      </x:c>
      <x:c r="F328" s="11" t="n">
        <x:v>0</x:v>
      </x:c>
      <x:c r="G328" s="7" t="str">
        <x:v>Commercial</x:v>
      </x:c>
      <x:c r="H328" s="7" t="str">
        <x:v>Replacement &amp; Cross-reference</x:v>
      </x:c>
      <x:c r="I328" s="7" t="n">
        <x:v>5</x:v>
      </x:c>
      <x:c r="J328" s="7" t="str">
        <x:v>/series/t6cc/</x:v>
      </x:c>
      <x:c r="K328" s="7" t="str">
        <x:v>Covered</x:v>
      </x:c>
      <x:c r="L328" s="7" t="str">
        <x:v>Optimize existing page</x:v>
      </x:c>
      <x:c r="M328" s="7" t="str">
        <x:v>Series hub</x:v>
      </x:c>
      <x:c r="N328" s="7" t="n">
        <x:v>5</x:v>
      </x:c>
      <x:c r="O328" s="7" t="n">
        <x:f>IF(B328&gt;=1000,5,IF(B328&gt;=300,4,IF(B328&gt;=100,3,IF(B328&gt;=30,2,IF(B328&gt;=10,1,0)))))</x:f>
        <x:v>0</x:v>
      </x:c>
      <x:c r="P328" s="7" t="n">
        <x:f>IF(C328&gt;=5,4,IF(C328&gt;=2,3,IF(C328&gt;=1,2,IF(C328&gt;0,1,0))))</x:f>
        <x:v>0</x:v>
      </x:c>
      <x:c r="Q328" s="7" t="n">
        <x:f>N328*2+O328+P328+IF(F328&gt;=0.2,1,0)+IF(K328="Gap",2,0)-IF(I328&lt;=2,5,0)</x:f>
        <x:v>10</x:v>
      </x:c>
      <x:c r="R328" s="7" t="str">
        <x:f>IF(I328&lt;=2,"D",IF(Q328&gt;=15,"A",IF(Q328&gt;=11,"B",IF(Q328&gt;=7,"C","D"))))</x:f>
        <x:v>C</x:v>
      </x:c>
      <x:c r="S328" s="12" t="n">
        <x:f>B328*'Dashboard'!$B$11</x:f>
        <x:v>0</x:v>
      </x:c>
      <x:c r="T328" s="10" t="n">
        <x:f>S328*'Dashboard'!$D$11</x:f>
        <x:v>0</x:v>
      </x:c>
      <x:c r="U328" s="7" t="str">
        <x:v>Low-volume commercial long tail; retain only when real supply evidence is available.</x:v>
      </x:c>
    </x:row>
    <x:row r="329" ht="19" customHeight="1">
      <x:c r="A329" s="7" t="str">
        <x:v>t6cc parts</x:v>
      </x:c>
      <x:c r="B329" s="8" t="n">
        <x:v>0</x:v>
      </x:c>
      <x:c r="C329" s="9" t="n">
        <x:v>0</x:v>
      </x:c>
      <x:c r="D329" s="10" t="n">
        <x:v>0</x:v>
      </x:c>
      <x:c r="E329" s="8" t="n">
        <x:v>0</x:v>
      </x:c>
      <x:c r="F329" s="11" t="n">
        <x:v>0</x:v>
      </x:c>
      <x:c r="G329" s="7" t="str">
        <x:v>Commercial</x:v>
      </x:c>
      <x:c r="H329" s="7" t="str">
        <x:v>Hydraulic Pumps</x:v>
      </x:c>
      <x:c r="I329" s="7" t="n">
        <x:v>5</x:v>
      </x:c>
      <x:c r="J329" s="7" t="str">
        <x:v>/series/t6cc/</x:v>
      </x:c>
      <x:c r="K329" s="7" t="str">
        <x:v>Covered</x:v>
      </x:c>
      <x:c r="L329" s="7" t="str">
        <x:v>Optimize existing page</x:v>
      </x:c>
      <x:c r="M329" s="7" t="str">
        <x:v>Series hub</x:v>
      </x:c>
      <x:c r="N329" s="7" t="n">
        <x:v>5</x:v>
      </x:c>
      <x:c r="O329" s="7" t="n">
        <x:f>IF(B329&gt;=1000,5,IF(B329&gt;=300,4,IF(B329&gt;=100,3,IF(B329&gt;=30,2,IF(B329&gt;=10,1,0)))))</x:f>
        <x:v>0</x:v>
      </x:c>
      <x:c r="P329" s="7" t="n">
        <x:f>IF(C329&gt;=5,4,IF(C329&gt;=2,3,IF(C329&gt;=1,2,IF(C329&gt;0,1,0))))</x:f>
        <x:v>0</x:v>
      </x:c>
      <x:c r="Q329" s="7" t="n">
        <x:f>N329*2+O329+P329+IF(F329&gt;=0.2,1,0)+IF(K329="Gap",2,0)-IF(I329&lt;=2,5,0)</x:f>
        <x:v>10</x:v>
      </x:c>
      <x:c r="R329" s="7" t="str">
        <x:f>IF(I329&lt;=2,"D",IF(Q329&gt;=15,"A",IF(Q329&gt;=11,"B",IF(Q329&gt;=7,"C","D"))))</x:f>
        <x:v>C</x:v>
      </x:c>
      <x:c r="S329" s="12" t="n">
        <x:f>B329*'Dashboard'!$B$11</x:f>
        <x:v>0</x:v>
      </x:c>
      <x:c r="T329" s="10" t="n">
        <x:f>S329*'Dashboard'!$D$11</x:f>
        <x:v>0</x:v>
      </x:c>
      <x:c r="U329" s="7" t="str">
        <x:v>Low-volume commercial long tail; retain only when real supply evidence is available.</x:v>
      </x:c>
    </x:row>
    <x:row r="330" ht="19" customHeight="1">
      <x:c r="A330" s="7" t="str">
        <x:v>t6cc replacement</x:v>
      </x:c>
      <x:c r="B330" s="8" t="n">
        <x:v>0</x:v>
      </x:c>
      <x:c r="C330" s="9" t="n">
        <x:v>0</x:v>
      </x:c>
      <x:c r="D330" s="10" t="n">
        <x:v>0</x:v>
      </x:c>
      <x:c r="E330" s="8" t="n">
        <x:v>0</x:v>
      </x:c>
      <x:c r="F330" s="11" t="n">
        <x:v>0</x:v>
      </x:c>
      <x:c r="G330" s="7" t="str">
        <x:v>Commercial</x:v>
      </x:c>
      <x:c r="H330" s="7" t="str">
        <x:v>Replacement &amp; Cross-reference</x:v>
      </x:c>
      <x:c r="I330" s="7" t="n">
        <x:v>5</x:v>
      </x:c>
      <x:c r="J330" s="7" t="str">
        <x:v>/series/t6cc/</x:v>
      </x:c>
      <x:c r="K330" s="7" t="str">
        <x:v>Covered</x:v>
      </x:c>
      <x:c r="L330" s="7" t="str">
        <x:v>Optimize existing page</x:v>
      </x:c>
      <x:c r="M330" s="7" t="str">
        <x:v>Series hub</x:v>
      </x:c>
      <x:c r="N330" s="7" t="n">
        <x:v>5</x:v>
      </x:c>
      <x:c r="O330" s="7" t="n">
        <x:f>IF(B330&gt;=1000,5,IF(B330&gt;=300,4,IF(B330&gt;=100,3,IF(B330&gt;=30,2,IF(B330&gt;=10,1,0)))))</x:f>
        <x:v>0</x:v>
      </x:c>
      <x:c r="P330" s="7" t="n">
        <x:f>IF(C330&gt;=5,4,IF(C330&gt;=2,3,IF(C330&gt;=1,2,IF(C330&gt;0,1,0))))</x:f>
        <x:v>0</x:v>
      </x:c>
      <x:c r="Q330" s="7" t="n">
        <x:f>N330*2+O330+P330+IF(F330&gt;=0.2,1,0)+IF(K330="Gap",2,0)-IF(I330&lt;=2,5,0)</x:f>
        <x:v>10</x:v>
      </x:c>
      <x:c r="R330" s="7" t="str">
        <x:f>IF(I330&lt;=2,"D",IF(Q330&gt;=15,"A",IF(Q330&gt;=11,"B",IF(Q330&gt;=7,"C","D"))))</x:f>
        <x:v>C</x:v>
      </x:c>
      <x:c r="S330" s="12" t="n">
        <x:f>B330*'Dashboard'!$B$11</x:f>
        <x:v>0</x:v>
      </x:c>
      <x:c r="T330" s="10" t="n">
        <x:f>S330*'Dashboard'!$D$11</x:f>
        <x:v>0</x:v>
      </x:c>
      <x:c r="U330" s="7" t="str">
        <x:v>Low-volume commercial long tail; retain only when real supply evidence is available.</x:v>
      </x:c>
    </x:row>
    <x:row r="331" ht="19" customHeight="1">
      <x:c r="A331" s="7" t="str">
        <x:v>t6cc seal kit</x:v>
      </x:c>
      <x:c r="B331" s="8" t="n">
        <x:v>0</x:v>
      </x:c>
      <x:c r="C331" s="9" t="n">
        <x:v>0</x:v>
      </x:c>
      <x:c r="D331" s="10" t="n">
        <x:v>0</x:v>
      </x:c>
      <x:c r="E331" s="8" t="n">
        <x:v>0</x:v>
      </x:c>
      <x:c r="F331" s="11" t="n">
        <x:v>0</x:v>
      </x:c>
      <x:c r="G331" s="7" t="str">
        <x:v>Commercial</x:v>
      </x:c>
      <x:c r="H331" s="7" t="str">
        <x:v>Repair Kits &amp; Service Parts</x:v>
      </x:c>
      <x:c r="I331" s="7" t="n">
        <x:v>5</x:v>
      </x:c>
      <x:c r="J331" s="7" t="str">
        <x:v>/series/t6cc/</x:v>
      </x:c>
      <x:c r="K331" s="7" t="str">
        <x:v>Covered</x:v>
      </x:c>
      <x:c r="L331" s="7" t="str">
        <x:v>Optimize existing page</x:v>
      </x:c>
      <x:c r="M331" s="7" t="str">
        <x:v>Series hub</x:v>
      </x:c>
      <x:c r="N331" s="7" t="n">
        <x:v>5</x:v>
      </x:c>
      <x:c r="O331" s="7" t="n">
        <x:f>IF(B331&gt;=1000,5,IF(B331&gt;=300,4,IF(B331&gt;=100,3,IF(B331&gt;=30,2,IF(B331&gt;=10,1,0)))))</x:f>
        <x:v>0</x:v>
      </x:c>
      <x:c r="P331" s="7" t="n">
        <x:f>IF(C331&gt;=5,4,IF(C331&gt;=2,3,IF(C331&gt;=1,2,IF(C331&gt;0,1,0))))</x:f>
        <x:v>0</x:v>
      </x:c>
      <x:c r="Q331" s="7" t="n">
        <x:f>N331*2+O331+P331+IF(F331&gt;=0.2,1,0)+IF(K331="Gap",2,0)-IF(I331&lt;=2,5,0)</x:f>
        <x:v>10</x:v>
      </x:c>
      <x:c r="R331" s="7" t="str">
        <x:f>IF(I331&lt;=2,"D",IF(Q331&gt;=15,"A",IF(Q331&gt;=11,"B",IF(Q331&gt;=7,"C","D"))))</x:f>
        <x:v>C</x:v>
      </x:c>
      <x:c r="S331" s="12" t="n">
        <x:f>B331*'Dashboard'!$B$11</x:f>
        <x:v>0</x:v>
      </x:c>
      <x:c r="T331" s="10" t="n">
        <x:f>S331*'Dashboard'!$D$11</x:f>
        <x:v>0</x:v>
      </x:c>
      <x:c r="U331" s="7" t="str">
        <x:v>Low-volume commercial long tail; retain only when real supply evidence is available.</x:v>
      </x:c>
    </x:row>
    <x:row r="332" ht="19" customHeight="1">
      <x:c r="A332" s="7" t="str">
        <x:v>t6cc supplier</x:v>
      </x:c>
      <x:c r="B332" s="8" t="n">
        <x:v>0</x:v>
      </x:c>
      <x:c r="C332" s="9" t="n">
        <x:v>0</x:v>
      </x:c>
      <x:c r="D332" s="10" t="n">
        <x:v>0</x:v>
      </x:c>
      <x:c r="E332" s="8" t="n">
        <x:v>0</x:v>
      </x:c>
      <x:c r="F332" s="11" t="n">
        <x:v>0</x:v>
      </x:c>
      <x:c r="G332" s="7" t="str">
        <x:v>Transactional</x:v>
      </x:c>
      <x:c r="H332" s="7" t="str">
        <x:v>Hydraulic Pumps</x:v>
      </x:c>
      <x:c r="I332" s="7" t="n">
        <x:v>5</x:v>
      </x:c>
      <x:c r="J332" s="7" t="str">
        <x:v>/series/t6cc/</x:v>
      </x:c>
      <x:c r="K332" s="7" t="str">
        <x:v>Covered</x:v>
      </x:c>
      <x:c r="L332" s="7" t="str">
        <x:v>Optimize existing page</x:v>
      </x:c>
      <x:c r="M332" s="7" t="str">
        <x:v>Series hub</x:v>
      </x:c>
      <x:c r="N332" s="7" t="n">
        <x:v>5</x:v>
      </x:c>
      <x:c r="O332" s="7" t="n">
        <x:f>IF(B332&gt;=1000,5,IF(B332&gt;=300,4,IF(B332&gt;=100,3,IF(B332&gt;=30,2,IF(B332&gt;=10,1,0)))))</x:f>
        <x:v>0</x:v>
      </x:c>
      <x:c r="P332" s="7" t="n">
        <x:f>IF(C332&gt;=5,4,IF(C332&gt;=2,3,IF(C332&gt;=1,2,IF(C332&gt;0,1,0))))</x:f>
        <x:v>0</x:v>
      </x:c>
      <x:c r="Q332" s="7" t="n">
        <x:f>N332*2+O332+P332+IF(F332&gt;=0.2,1,0)+IF(K332="Gap",2,0)-IF(I332&lt;=2,5,0)</x:f>
        <x:v>10</x:v>
      </x:c>
      <x:c r="R332" s="7" t="str">
        <x:f>IF(I332&lt;=2,"D",IF(Q332&gt;=15,"A",IF(Q332&gt;=11,"B",IF(Q332&gt;=7,"C","D"))))</x:f>
        <x:v>C</x:v>
      </x:c>
      <x:c r="S332" s="12" t="n">
        <x:f>B332*'Dashboard'!$B$11</x:f>
        <x:v>0</x:v>
      </x:c>
      <x:c r="T332" s="10" t="n">
        <x:f>S332*'Dashboard'!$D$11</x:f>
        <x:v>0</x:v>
      </x:c>
      <x:c r="U332" s="7" t="str">
        <x:v>Low-volume commercial long tail; retain only when real supply evidence is available.</x:v>
      </x:c>
    </x:row>
    <x:row r="333" ht="19" customHeight="1">
      <x:c r="A333" s="7" t="str">
        <x:v>t6ccm equivalent</x:v>
      </x:c>
      <x:c r="B333" s="8" t="n">
        <x:v>0</x:v>
      </x:c>
      <x:c r="C333" s="9" t="n">
        <x:v>0</x:v>
      </x:c>
      <x:c r="D333" s="10" t="n">
        <x:v>0</x:v>
      </x:c>
      <x:c r="E333" s="8" t="n">
        <x:v>0</x:v>
      </x:c>
      <x:c r="F333" s="11" t="n">
        <x:v>0</x:v>
      </x:c>
      <x:c r="G333" s="7" t="str">
        <x:v>Commercial</x:v>
      </x:c>
      <x:c r="H333" s="7" t="str">
        <x:v>Replacement &amp; Cross-reference</x:v>
      </x:c>
      <x:c r="I333" s="7" t="n">
        <x:v>5</x:v>
      </x:c>
      <x:c r="J333" s="7" t="str">
        <x:v>/series/t6ccm/</x:v>
      </x:c>
      <x:c r="K333" s="7" t="str">
        <x:v>Covered</x:v>
      </x:c>
      <x:c r="L333" s="7" t="str">
        <x:v>Optimize existing page</x:v>
      </x:c>
      <x:c r="M333" s="7" t="str">
        <x:v>Series hub</x:v>
      </x:c>
      <x:c r="N333" s="7" t="n">
        <x:v>5</x:v>
      </x:c>
      <x:c r="O333" s="7" t="n">
        <x:f>IF(B333&gt;=1000,5,IF(B333&gt;=300,4,IF(B333&gt;=100,3,IF(B333&gt;=30,2,IF(B333&gt;=10,1,0)))))</x:f>
        <x:v>0</x:v>
      </x:c>
      <x:c r="P333" s="7" t="n">
        <x:f>IF(C333&gt;=5,4,IF(C333&gt;=2,3,IF(C333&gt;=1,2,IF(C333&gt;0,1,0))))</x:f>
        <x:v>0</x:v>
      </x:c>
      <x:c r="Q333" s="7" t="n">
        <x:f>N333*2+O333+P333+IF(F333&gt;=0.2,1,0)+IF(K333="Gap",2,0)-IF(I333&lt;=2,5,0)</x:f>
        <x:v>10</x:v>
      </x:c>
      <x:c r="R333" s="7" t="str">
        <x:f>IF(I333&lt;=2,"D",IF(Q333&gt;=15,"A",IF(Q333&gt;=11,"B",IF(Q333&gt;=7,"C","D"))))</x:f>
        <x:v>C</x:v>
      </x:c>
      <x:c r="S333" s="12" t="n">
        <x:f>B333*'Dashboard'!$B$11</x:f>
        <x:v>0</x:v>
      </x:c>
      <x:c r="T333" s="10" t="n">
        <x:f>S333*'Dashboard'!$D$11</x:f>
        <x:v>0</x:v>
      </x:c>
      <x:c r="U333" s="7" t="str">
        <x:v>Low-volume commercial long tail; retain only when real supply evidence is available.</x:v>
      </x:c>
    </x:row>
    <x:row r="334" ht="19" customHeight="1">
      <x:c r="A334" s="7" t="str">
        <x:v>t6ccm parts</x:v>
      </x:c>
      <x:c r="B334" s="8" t="n">
        <x:v>0</x:v>
      </x:c>
      <x:c r="C334" s="9" t="n">
        <x:v>0</x:v>
      </x:c>
      <x:c r="D334" s="10" t="n">
        <x:v>0</x:v>
      </x:c>
      <x:c r="E334" s="8" t="n">
        <x:v>0</x:v>
      </x:c>
      <x:c r="F334" s="11" t="n">
        <x:v>0</x:v>
      </x:c>
      <x:c r="G334" s="7" t="str">
        <x:v>Commercial</x:v>
      </x:c>
      <x:c r="H334" s="7" t="str">
        <x:v>Hydraulic Pumps</x:v>
      </x:c>
      <x:c r="I334" s="7" t="n">
        <x:v>5</x:v>
      </x:c>
      <x:c r="J334" s="7" t="str">
        <x:v>/series/t6ccm/</x:v>
      </x:c>
      <x:c r="K334" s="7" t="str">
        <x:v>Covered</x:v>
      </x:c>
      <x:c r="L334" s="7" t="str">
        <x:v>Optimize existing page</x:v>
      </x:c>
      <x:c r="M334" s="7" t="str">
        <x:v>Series hub</x:v>
      </x:c>
      <x:c r="N334" s="7" t="n">
        <x:v>5</x:v>
      </x:c>
      <x:c r="O334" s="7" t="n">
        <x:f>IF(B334&gt;=1000,5,IF(B334&gt;=300,4,IF(B334&gt;=100,3,IF(B334&gt;=30,2,IF(B334&gt;=10,1,0)))))</x:f>
        <x:v>0</x:v>
      </x:c>
      <x:c r="P334" s="7" t="n">
        <x:f>IF(C334&gt;=5,4,IF(C334&gt;=2,3,IF(C334&gt;=1,2,IF(C334&gt;0,1,0))))</x:f>
        <x:v>0</x:v>
      </x:c>
      <x:c r="Q334" s="7" t="n">
        <x:f>N334*2+O334+P334+IF(F334&gt;=0.2,1,0)+IF(K334="Gap",2,0)-IF(I334&lt;=2,5,0)</x:f>
        <x:v>10</x:v>
      </x:c>
      <x:c r="R334" s="7" t="str">
        <x:f>IF(I334&lt;=2,"D",IF(Q334&gt;=15,"A",IF(Q334&gt;=11,"B",IF(Q334&gt;=7,"C","D"))))</x:f>
        <x:v>C</x:v>
      </x:c>
      <x:c r="S334" s="12" t="n">
        <x:f>B334*'Dashboard'!$B$11</x:f>
        <x:v>0</x:v>
      </x:c>
      <x:c r="T334" s="10" t="n">
        <x:f>S334*'Dashboard'!$D$11</x:f>
        <x:v>0</x:v>
      </x:c>
      <x:c r="U334" s="7" t="str">
        <x:v>Low-volume commercial long tail; retain only when real supply evidence is available.</x:v>
      </x:c>
    </x:row>
    <x:row r="335" ht="19" customHeight="1">
      <x:c r="A335" s="7" t="str">
        <x:v>t6ccm replacement</x:v>
      </x:c>
      <x:c r="B335" s="8" t="n">
        <x:v>0</x:v>
      </x:c>
      <x:c r="C335" s="9" t="n">
        <x:v>0</x:v>
      </x:c>
      <x:c r="D335" s="10" t="n">
        <x:v>0</x:v>
      </x:c>
      <x:c r="E335" s="8" t="n">
        <x:v>0</x:v>
      </x:c>
      <x:c r="F335" s="11" t="n">
        <x:v>0</x:v>
      </x:c>
      <x:c r="G335" s="7" t="str">
        <x:v>Commercial</x:v>
      </x:c>
      <x:c r="H335" s="7" t="str">
        <x:v>Replacement &amp; Cross-reference</x:v>
      </x:c>
      <x:c r="I335" s="7" t="n">
        <x:v>5</x:v>
      </x:c>
      <x:c r="J335" s="7" t="str">
        <x:v>/series/t6ccm/</x:v>
      </x:c>
      <x:c r="K335" s="7" t="str">
        <x:v>Covered</x:v>
      </x:c>
      <x:c r="L335" s="7" t="str">
        <x:v>Optimize existing page</x:v>
      </x:c>
      <x:c r="M335" s="7" t="str">
        <x:v>Series hub</x:v>
      </x:c>
      <x:c r="N335" s="7" t="n">
        <x:v>5</x:v>
      </x:c>
      <x:c r="O335" s="7" t="n">
        <x:f>IF(B335&gt;=1000,5,IF(B335&gt;=300,4,IF(B335&gt;=100,3,IF(B335&gt;=30,2,IF(B335&gt;=10,1,0)))))</x:f>
        <x:v>0</x:v>
      </x:c>
      <x:c r="P335" s="7" t="n">
        <x:f>IF(C335&gt;=5,4,IF(C335&gt;=2,3,IF(C335&gt;=1,2,IF(C335&gt;0,1,0))))</x:f>
        <x:v>0</x:v>
      </x:c>
      <x:c r="Q335" s="7" t="n">
        <x:f>N335*2+O335+P335+IF(F335&gt;=0.2,1,0)+IF(K335="Gap",2,0)-IF(I335&lt;=2,5,0)</x:f>
        <x:v>10</x:v>
      </x:c>
      <x:c r="R335" s="7" t="str">
        <x:f>IF(I335&lt;=2,"D",IF(Q335&gt;=15,"A",IF(Q335&gt;=11,"B",IF(Q335&gt;=7,"C","D"))))</x:f>
        <x:v>C</x:v>
      </x:c>
      <x:c r="S335" s="12" t="n">
        <x:f>B335*'Dashboard'!$B$11</x:f>
        <x:v>0</x:v>
      </x:c>
      <x:c r="T335" s="10" t="n">
        <x:f>S335*'Dashboard'!$D$11</x:f>
        <x:v>0</x:v>
      </x:c>
      <x:c r="U335" s="7" t="str">
        <x:v>Low-volume commercial long tail; retain only when real supply evidence is available.</x:v>
      </x:c>
    </x:row>
    <x:row r="336" ht="19" customHeight="1">
      <x:c r="A336" s="7" t="str">
        <x:v>t6ccm seal kit</x:v>
      </x:c>
      <x:c r="B336" s="8" t="n">
        <x:v>0</x:v>
      </x:c>
      <x:c r="C336" s="9" t="n">
        <x:v>0</x:v>
      </x:c>
      <x:c r="D336" s="10" t="n">
        <x:v>0</x:v>
      </x:c>
      <x:c r="E336" s="8" t="n">
        <x:v>0</x:v>
      </x:c>
      <x:c r="F336" s="11" t="n">
        <x:v>0</x:v>
      </x:c>
      <x:c r="G336" s="7" t="str">
        <x:v>Commercial</x:v>
      </x:c>
      <x:c r="H336" s="7" t="str">
        <x:v>Repair Kits &amp; Service Parts</x:v>
      </x:c>
      <x:c r="I336" s="7" t="n">
        <x:v>5</x:v>
      </x:c>
      <x:c r="J336" s="7" t="str">
        <x:v>/series/t6ccm/</x:v>
      </x:c>
      <x:c r="K336" s="7" t="str">
        <x:v>Covered</x:v>
      </x:c>
      <x:c r="L336" s="7" t="str">
        <x:v>Optimize existing page</x:v>
      </x:c>
      <x:c r="M336" s="7" t="str">
        <x:v>Series hub</x:v>
      </x:c>
      <x:c r="N336" s="7" t="n">
        <x:v>5</x:v>
      </x:c>
      <x:c r="O336" s="7" t="n">
        <x:f>IF(B336&gt;=1000,5,IF(B336&gt;=300,4,IF(B336&gt;=100,3,IF(B336&gt;=30,2,IF(B336&gt;=10,1,0)))))</x:f>
        <x:v>0</x:v>
      </x:c>
      <x:c r="P336" s="7" t="n">
        <x:f>IF(C336&gt;=5,4,IF(C336&gt;=2,3,IF(C336&gt;=1,2,IF(C336&gt;0,1,0))))</x:f>
        <x:v>0</x:v>
      </x:c>
      <x:c r="Q336" s="7" t="n">
        <x:f>N336*2+O336+P336+IF(F336&gt;=0.2,1,0)+IF(K336="Gap",2,0)-IF(I336&lt;=2,5,0)</x:f>
        <x:v>10</x:v>
      </x:c>
      <x:c r="R336" s="7" t="str">
        <x:f>IF(I336&lt;=2,"D",IF(Q336&gt;=15,"A",IF(Q336&gt;=11,"B",IF(Q336&gt;=7,"C","D"))))</x:f>
        <x:v>C</x:v>
      </x:c>
      <x:c r="S336" s="12" t="n">
        <x:f>B336*'Dashboard'!$B$11</x:f>
        <x:v>0</x:v>
      </x:c>
      <x:c r="T336" s="10" t="n">
        <x:f>S336*'Dashboard'!$D$11</x:f>
        <x:v>0</x:v>
      </x:c>
      <x:c r="U336" s="7" t="str">
        <x:v>Low-volume commercial long tail; retain only when real supply evidence is available.</x:v>
      </x:c>
    </x:row>
    <x:row r="337" ht="19" customHeight="1">
      <x:c r="A337" s="7" t="str">
        <x:v>t6ccm supplier</x:v>
      </x:c>
      <x:c r="B337" s="8" t="n">
        <x:v>0</x:v>
      </x:c>
      <x:c r="C337" s="9" t="n">
        <x:v>0</x:v>
      </x:c>
      <x:c r="D337" s="10" t="n">
        <x:v>0</x:v>
      </x:c>
      <x:c r="E337" s="8" t="n">
        <x:v>0</x:v>
      </x:c>
      <x:c r="F337" s="11" t="n">
        <x:v>0</x:v>
      </x:c>
      <x:c r="G337" s="7" t="str">
        <x:v>Transactional</x:v>
      </x:c>
      <x:c r="H337" s="7" t="str">
        <x:v>Hydraulic Pumps</x:v>
      </x:c>
      <x:c r="I337" s="7" t="n">
        <x:v>5</x:v>
      </x:c>
      <x:c r="J337" s="7" t="str">
        <x:v>/series/t6ccm/</x:v>
      </x:c>
      <x:c r="K337" s="7" t="str">
        <x:v>Covered</x:v>
      </x:c>
      <x:c r="L337" s="7" t="str">
        <x:v>Optimize existing page</x:v>
      </x:c>
      <x:c r="M337" s="7" t="str">
        <x:v>Series hub</x:v>
      </x:c>
      <x:c r="N337" s="7" t="n">
        <x:v>5</x:v>
      </x:c>
      <x:c r="O337" s="7" t="n">
        <x:f>IF(B337&gt;=1000,5,IF(B337&gt;=300,4,IF(B337&gt;=100,3,IF(B337&gt;=30,2,IF(B337&gt;=10,1,0)))))</x:f>
        <x:v>0</x:v>
      </x:c>
      <x:c r="P337" s="7" t="n">
        <x:f>IF(C337&gt;=5,4,IF(C337&gt;=2,3,IF(C337&gt;=1,2,IF(C337&gt;0,1,0))))</x:f>
        <x:v>0</x:v>
      </x:c>
      <x:c r="Q337" s="7" t="n">
        <x:f>N337*2+O337+P337+IF(F337&gt;=0.2,1,0)+IF(K337="Gap",2,0)-IF(I337&lt;=2,5,0)</x:f>
        <x:v>10</x:v>
      </x:c>
      <x:c r="R337" s="7" t="str">
        <x:f>IF(I337&lt;=2,"D",IF(Q337&gt;=15,"A",IF(Q337&gt;=11,"B",IF(Q337&gt;=7,"C","D"))))</x:f>
        <x:v>C</x:v>
      </x:c>
      <x:c r="S337" s="12" t="n">
        <x:f>B337*'Dashboard'!$B$11</x:f>
        <x:v>0</x:v>
      </x:c>
      <x:c r="T337" s="10" t="n">
        <x:f>S337*'Dashboard'!$D$11</x:f>
        <x:v>0</x:v>
      </x:c>
      <x:c r="U337" s="7" t="str">
        <x:v>Low-volume commercial long tail; retain only when real supply evidence is available.</x:v>
      </x:c>
    </x:row>
    <x:row r="338" ht="19" customHeight="1">
      <x:c r="A338" s="7" t="str">
        <x:v>t6dc equivalent</x:v>
      </x:c>
      <x:c r="B338" s="8" t="n">
        <x:v>0</x:v>
      </x:c>
      <x:c r="C338" s="9" t="n">
        <x:v>0</x:v>
      </x:c>
      <x:c r="D338" s="10" t="n">
        <x:v>0</x:v>
      </x:c>
      <x:c r="E338" s="8" t="n">
        <x:v>0</x:v>
      </x:c>
      <x:c r="F338" s="11" t="n">
        <x:v>0</x:v>
      </x:c>
      <x:c r="G338" s="7" t="str">
        <x:v>Commercial</x:v>
      </x:c>
      <x:c r="H338" s="7" t="str">
        <x:v>Replacement &amp; Cross-reference</x:v>
      </x:c>
      <x:c r="I338" s="7" t="n">
        <x:v>5</x:v>
      </x:c>
      <x:c r="J338" s="7" t="str">
        <x:v>/series/t6dc/</x:v>
      </x:c>
      <x:c r="K338" s="7" t="str">
        <x:v>Covered</x:v>
      </x:c>
      <x:c r="L338" s="7" t="str">
        <x:v>Optimize existing page</x:v>
      </x:c>
      <x:c r="M338" s="7" t="str">
        <x:v>Series hub</x:v>
      </x:c>
      <x:c r="N338" s="7" t="n">
        <x:v>5</x:v>
      </x:c>
      <x:c r="O338" s="7" t="n">
        <x:f>IF(B338&gt;=1000,5,IF(B338&gt;=300,4,IF(B338&gt;=100,3,IF(B338&gt;=30,2,IF(B338&gt;=10,1,0)))))</x:f>
        <x:v>0</x:v>
      </x:c>
      <x:c r="P338" s="7" t="n">
        <x:f>IF(C338&gt;=5,4,IF(C338&gt;=2,3,IF(C338&gt;=1,2,IF(C338&gt;0,1,0))))</x:f>
        <x:v>0</x:v>
      </x:c>
      <x:c r="Q338" s="7" t="n">
        <x:f>N338*2+O338+P338+IF(F338&gt;=0.2,1,0)+IF(K338="Gap",2,0)-IF(I338&lt;=2,5,0)</x:f>
        <x:v>10</x:v>
      </x:c>
      <x:c r="R338" s="7" t="str">
        <x:f>IF(I338&lt;=2,"D",IF(Q338&gt;=15,"A",IF(Q338&gt;=11,"B",IF(Q338&gt;=7,"C","D"))))</x:f>
        <x:v>C</x:v>
      </x:c>
      <x:c r="S338" s="12" t="n">
        <x:f>B338*'Dashboard'!$B$11</x:f>
        <x:v>0</x:v>
      </x:c>
      <x:c r="T338" s="10" t="n">
        <x:f>S338*'Dashboard'!$D$11</x:f>
        <x:v>0</x:v>
      </x:c>
      <x:c r="U338" s="7" t="str">
        <x:v>Low-volume commercial long tail; retain only when real supply evidence is available.</x:v>
      </x:c>
    </x:row>
    <x:row r="339" ht="19" customHeight="1">
      <x:c r="A339" s="7" t="str">
        <x:v>t6dc parts</x:v>
      </x:c>
      <x:c r="B339" s="8" t="n">
        <x:v>0</x:v>
      </x:c>
      <x:c r="C339" s="9" t="n">
        <x:v>0</x:v>
      </x:c>
      <x:c r="D339" s="10" t="n">
        <x:v>0</x:v>
      </x:c>
      <x:c r="E339" s="8" t="n">
        <x:v>0</x:v>
      </x:c>
      <x:c r="F339" s="11" t="n">
        <x:v>0</x:v>
      </x:c>
      <x:c r="G339" s="7" t="str">
        <x:v>Commercial</x:v>
      </x:c>
      <x:c r="H339" s="7" t="str">
        <x:v>Hydraulic Pumps</x:v>
      </x:c>
      <x:c r="I339" s="7" t="n">
        <x:v>5</x:v>
      </x:c>
      <x:c r="J339" s="7" t="str">
        <x:v>/series/t6dc/</x:v>
      </x:c>
      <x:c r="K339" s="7" t="str">
        <x:v>Covered</x:v>
      </x:c>
      <x:c r="L339" s="7" t="str">
        <x:v>Optimize existing page</x:v>
      </x:c>
      <x:c r="M339" s="7" t="str">
        <x:v>Series hub</x:v>
      </x:c>
      <x:c r="N339" s="7" t="n">
        <x:v>5</x:v>
      </x:c>
      <x:c r="O339" s="7" t="n">
        <x:f>IF(B339&gt;=1000,5,IF(B339&gt;=300,4,IF(B339&gt;=100,3,IF(B339&gt;=30,2,IF(B339&gt;=10,1,0)))))</x:f>
        <x:v>0</x:v>
      </x:c>
      <x:c r="P339" s="7" t="n">
        <x:f>IF(C339&gt;=5,4,IF(C339&gt;=2,3,IF(C339&gt;=1,2,IF(C339&gt;0,1,0))))</x:f>
        <x:v>0</x:v>
      </x:c>
      <x:c r="Q339" s="7" t="n">
        <x:f>N339*2+O339+P339+IF(F339&gt;=0.2,1,0)+IF(K339="Gap",2,0)-IF(I339&lt;=2,5,0)</x:f>
        <x:v>10</x:v>
      </x:c>
      <x:c r="R339" s="7" t="str">
        <x:f>IF(I339&lt;=2,"D",IF(Q339&gt;=15,"A",IF(Q339&gt;=11,"B",IF(Q339&gt;=7,"C","D"))))</x:f>
        <x:v>C</x:v>
      </x:c>
      <x:c r="S339" s="12" t="n">
        <x:f>B339*'Dashboard'!$B$11</x:f>
        <x:v>0</x:v>
      </x:c>
      <x:c r="T339" s="10" t="n">
        <x:f>S339*'Dashboard'!$D$11</x:f>
        <x:v>0</x:v>
      </x:c>
      <x:c r="U339" s="7" t="str">
        <x:v>Low-volume commercial long tail; retain only when real supply evidence is available.</x:v>
      </x:c>
    </x:row>
    <x:row r="340" ht="19" customHeight="1">
      <x:c r="A340" s="7" t="str">
        <x:v>t6dc replacement</x:v>
      </x:c>
      <x:c r="B340" s="8" t="n">
        <x:v>0</x:v>
      </x:c>
      <x:c r="C340" s="9" t="n">
        <x:v>0</x:v>
      </x:c>
      <x:c r="D340" s="10" t="n">
        <x:v>0</x:v>
      </x:c>
      <x:c r="E340" s="8" t="n">
        <x:v>0</x:v>
      </x:c>
      <x:c r="F340" s="11" t="n">
        <x:v>0</x:v>
      </x:c>
      <x:c r="G340" s="7" t="str">
        <x:v>Commercial</x:v>
      </x:c>
      <x:c r="H340" s="7" t="str">
        <x:v>Replacement &amp; Cross-reference</x:v>
      </x:c>
      <x:c r="I340" s="7" t="n">
        <x:v>5</x:v>
      </x:c>
      <x:c r="J340" s="7" t="str">
        <x:v>/series/t6dc/</x:v>
      </x:c>
      <x:c r="K340" s="7" t="str">
        <x:v>Covered</x:v>
      </x:c>
      <x:c r="L340" s="7" t="str">
        <x:v>Optimize existing page</x:v>
      </x:c>
      <x:c r="M340" s="7" t="str">
        <x:v>Series hub</x:v>
      </x:c>
      <x:c r="N340" s="7" t="n">
        <x:v>5</x:v>
      </x:c>
      <x:c r="O340" s="7" t="n">
        <x:f>IF(B340&gt;=1000,5,IF(B340&gt;=300,4,IF(B340&gt;=100,3,IF(B340&gt;=30,2,IF(B340&gt;=10,1,0)))))</x:f>
        <x:v>0</x:v>
      </x:c>
      <x:c r="P340" s="7" t="n">
        <x:f>IF(C340&gt;=5,4,IF(C340&gt;=2,3,IF(C340&gt;=1,2,IF(C340&gt;0,1,0))))</x:f>
        <x:v>0</x:v>
      </x:c>
      <x:c r="Q340" s="7" t="n">
        <x:f>N340*2+O340+P340+IF(F340&gt;=0.2,1,0)+IF(K340="Gap",2,0)-IF(I340&lt;=2,5,0)</x:f>
        <x:v>10</x:v>
      </x:c>
      <x:c r="R340" s="7" t="str">
        <x:f>IF(I340&lt;=2,"D",IF(Q340&gt;=15,"A",IF(Q340&gt;=11,"B",IF(Q340&gt;=7,"C","D"))))</x:f>
        <x:v>C</x:v>
      </x:c>
      <x:c r="S340" s="12" t="n">
        <x:f>B340*'Dashboard'!$B$11</x:f>
        <x:v>0</x:v>
      </x:c>
      <x:c r="T340" s="10" t="n">
        <x:f>S340*'Dashboard'!$D$11</x:f>
        <x:v>0</x:v>
      </x:c>
      <x:c r="U340" s="7" t="str">
        <x:v>Low-volume commercial long tail; retain only when real supply evidence is available.</x:v>
      </x:c>
    </x:row>
    <x:row r="341" ht="19" customHeight="1">
      <x:c r="A341" s="7" t="str">
        <x:v>t6dc seal kit</x:v>
      </x:c>
      <x:c r="B341" s="8" t="n">
        <x:v>0</x:v>
      </x:c>
      <x:c r="C341" s="9" t="n">
        <x:v>0</x:v>
      </x:c>
      <x:c r="D341" s="10" t="n">
        <x:v>0</x:v>
      </x:c>
      <x:c r="E341" s="8" t="n">
        <x:v>0</x:v>
      </x:c>
      <x:c r="F341" s="11" t="n">
        <x:v>0</x:v>
      </x:c>
      <x:c r="G341" s="7" t="str">
        <x:v>Commercial</x:v>
      </x:c>
      <x:c r="H341" s="7" t="str">
        <x:v>Repair Kits &amp; Service Parts</x:v>
      </x:c>
      <x:c r="I341" s="7" t="n">
        <x:v>5</x:v>
      </x:c>
      <x:c r="J341" s="7" t="str">
        <x:v>/series/t6dc/</x:v>
      </x:c>
      <x:c r="K341" s="7" t="str">
        <x:v>Covered</x:v>
      </x:c>
      <x:c r="L341" s="7" t="str">
        <x:v>Optimize existing page</x:v>
      </x:c>
      <x:c r="M341" s="7" t="str">
        <x:v>Series hub</x:v>
      </x:c>
      <x:c r="N341" s="7" t="n">
        <x:v>5</x:v>
      </x:c>
      <x:c r="O341" s="7" t="n">
        <x:f>IF(B341&gt;=1000,5,IF(B341&gt;=300,4,IF(B341&gt;=100,3,IF(B341&gt;=30,2,IF(B341&gt;=10,1,0)))))</x:f>
        <x:v>0</x:v>
      </x:c>
      <x:c r="P341" s="7" t="n">
        <x:f>IF(C341&gt;=5,4,IF(C341&gt;=2,3,IF(C341&gt;=1,2,IF(C341&gt;0,1,0))))</x:f>
        <x:v>0</x:v>
      </x:c>
      <x:c r="Q341" s="7" t="n">
        <x:f>N341*2+O341+P341+IF(F341&gt;=0.2,1,0)+IF(K341="Gap",2,0)-IF(I341&lt;=2,5,0)</x:f>
        <x:v>10</x:v>
      </x:c>
      <x:c r="R341" s="7" t="str">
        <x:f>IF(I341&lt;=2,"D",IF(Q341&gt;=15,"A",IF(Q341&gt;=11,"B",IF(Q341&gt;=7,"C","D"))))</x:f>
        <x:v>C</x:v>
      </x:c>
      <x:c r="S341" s="12" t="n">
        <x:f>B341*'Dashboard'!$B$11</x:f>
        <x:v>0</x:v>
      </x:c>
      <x:c r="T341" s="10" t="n">
        <x:f>S341*'Dashboard'!$D$11</x:f>
        <x:v>0</x:v>
      </x:c>
      <x:c r="U341" s="7" t="str">
        <x:v>Low-volume commercial long tail; retain only when real supply evidence is available.</x:v>
      </x:c>
    </x:row>
    <x:row r="342" ht="19" customHeight="1">
      <x:c r="A342" s="7" t="str">
        <x:v>t6dc supplier</x:v>
      </x:c>
      <x:c r="B342" s="8" t="n">
        <x:v>0</x:v>
      </x:c>
      <x:c r="C342" s="9" t="n">
        <x:v>0</x:v>
      </x:c>
      <x:c r="D342" s="10" t="n">
        <x:v>0</x:v>
      </x:c>
      <x:c r="E342" s="8" t="n">
        <x:v>0</x:v>
      </x:c>
      <x:c r="F342" s="11" t="n">
        <x:v>0</x:v>
      </x:c>
      <x:c r="G342" s="7" t="str">
        <x:v>Transactional</x:v>
      </x:c>
      <x:c r="H342" s="7" t="str">
        <x:v>Hydraulic Pumps</x:v>
      </x:c>
      <x:c r="I342" s="7" t="n">
        <x:v>5</x:v>
      </x:c>
      <x:c r="J342" s="7" t="str">
        <x:v>/series/t6dc/</x:v>
      </x:c>
      <x:c r="K342" s="7" t="str">
        <x:v>Covered</x:v>
      </x:c>
      <x:c r="L342" s="7" t="str">
        <x:v>Optimize existing page</x:v>
      </x:c>
      <x:c r="M342" s="7" t="str">
        <x:v>Series hub</x:v>
      </x:c>
      <x:c r="N342" s="7" t="n">
        <x:v>5</x:v>
      </x:c>
      <x:c r="O342" s="7" t="n">
        <x:f>IF(B342&gt;=1000,5,IF(B342&gt;=300,4,IF(B342&gt;=100,3,IF(B342&gt;=30,2,IF(B342&gt;=10,1,0)))))</x:f>
        <x:v>0</x:v>
      </x:c>
      <x:c r="P342" s="7" t="n">
        <x:f>IF(C342&gt;=5,4,IF(C342&gt;=2,3,IF(C342&gt;=1,2,IF(C342&gt;0,1,0))))</x:f>
        <x:v>0</x:v>
      </x:c>
      <x:c r="Q342" s="7" t="n">
        <x:f>N342*2+O342+P342+IF(F342&gt;=0.2,1,0)+IF(K342="Gap",2,0)-IF(I342&lt;=2,5,0)</x:f>
        <x:v>10</x:v>
      </x:c>
      <x:c r="R342" s="7" t="str">
        <x:f>IF(I342&lt;=2,"D",IF(Q342&gt;=15,"A",IF(Q342&gt;=11,"B",IF(Q342&gt;=7,"C","D"))))</x:f>
        <x:v>C</x:v>
      </x:c>
      <x:c r="S342" s="12" t="n">
        <x:f>B342*'Dashboard'!$B$11</x:f>
        <x:v>0</x:v>
      </x:c>
      <x:c r="T342" s="10" t="n">
        <x:f>S342*'Dashboard'!$D$11</x:f>
        <x:v>0</x:v>
      </x:c>
      <x:c r="U342" s="7" t="str">
        <x:v>Low-volume commercial long tail; retain only when real supply evidence is available.</x:v>
      </x:c>
    </x:row>
    <x:row r="343" ht="19" customHeight="1">
      <x:c r="A343" s="7" t="str">
        <x:v>tmb equivalent</x:v>
      </x:c>
      <x:c r="B343" s="8" t="n">
        <x:v>0</x:v>
      </x:c>
      <x:c r="C343" s="9" t="n">
        <x:v>0</x:v>
      </x:c>
      <x:c r="D343" s="10" t="n">
        <x:v>0</x:v>
      </x:c>
      <x:c r="E343" s="8" t="n">
        <x:v>0</x:v>
      </x:c>
      <x:c r="F343" s="11" t="n">
        <x:v>0</x:v>
      </x:c>
      <x:c r="G343" s="7" t="str">
        <x:v>Commercial</x:v>
      </x:c>
      <x:c r="H343" s="7" t="str">
        <x:v>Replacement &amp; Cross-reference</x:v>
      </x:c>
      <x:c r="I343" s="7" t="n">
        <x:v>5</x:v>
      </x:c>
      <x:c r="J343" s="7" t="str">
        <x:v>/series/tmb/</x:v>
      </x:c>
      <x:c r="K343" s="7" t="str">
        <x:v>Covered</x:v>
      </x:c>
      <x:c r="L343" s="7" t="str">
        <x:v>Optimize existing page</x:v>
      </x:c>
      <x:c r="M343" s="7" t="str">
        <x:v>Series hub</x:v>
      </x:c>
      <x:c r="N343" s="7" t="n">
        <x:v>5</x:v>
      </x:c>
      <x:c r="O343" s="7" t="n">
        <x:f>IF(B343&gt;=1000,5,IF(B343&gt;=300,4,IF(B343&gt;=100,3,IF(B343&gt;=30,2,IF(B343&gt;=10,1,0)))))</x:f>
        <x:v>0</x:v>
      </x:c>
      <x:c r="P343" s="7" t="n">
        <x:f>IF(C343&gt;=5,4,IF(C343&gt;=2,3,IF(C343&gt;=1,2,IF(C343&gt;0,1,0))))</x:f>
        <x:v>0</x:v>
      </x:c>
      <x:c r="Q343" s="7" t="n">
        <x:f>N343*2+O343+P343+IF(F343&gt;=0.2,1,0)+IF(K343="Gap",2,0)-IF(I343&lt;=2,5,0)</x:f>
        <x:v>10</x:v>
      </x:c>
      <x:c r="R343" s="7" t="str">
        <x:f>IF(I343&lt;=2,"D",IF(Q343&gt;=15,"A",IF(Q343&gt;=11,"B",IF(Q343&gt;=7,"C","D"))))</x:f>
        <x:v>C</x:v>
      </x:c>
      <x:c r="S343" s="12" t="n">
        <x:f>B343*'Dashboard'!$B$11</x:f>
        <x:v>0</x:v>
      </x:c>
      <x:c r="T343" s="10" t="n">
        <x:f>S343*'Dashboard'!$D$11</x:f>
        <x:v>0</x:v>
      </x:c>
      <x:c r="U343" s="7" t="str">
        <x:v>Low-volume commercial long tail; retain only when real supply evidence is available.</x:v>
      </x:c>
    </x:row>
    <x:row r="344" ht="19" customHeight="1">
      <x:c r="A344" s="7" t="str">
        <x:v>tmb replacement</x:v>
      </x:c>
      <x:c r="B344" s="8" t="n">
        <x:v>0</x:v>
      </x:c>
      <x:c r="C344" s="9" t="n">
        <x:v>0</x:v>
      </x:c>
      <x:c r="D344" s="10" t="n">
        <x:v>0</x:v>
      </x:c>
      <x:c r="E344" s="8" t="n">
        <x:v>0</x:v>
      </x:c>
      <x:c r="F344" s="11" t="n">
        <x:v>0</x:v>
      </x:c>
      <x:c r="G344" s="7" t="str">
        <x:v>Commercial</x:v>
      </x:c>
      <x:c r="H344" s="7" t="str">
        <x:v>Replacement &amp; Cross-reference</x:v>
      </x:c>
      <x:c r="I344" s="7" t="n">
        <x:v>5</x:v>
      </x:c>
      <x:c r="J344" s="7" t="str">
        <x:v>/series/tmb/</x:v>
      </x:c>
      <x:c r="K344" s="7" t="str">
        <x:v>Covered</x:v>
      </x:c>
      <x:c r="L344" s="7" t="str">
        <x:v>Optimize existing page</x:v>
      </x:c>
      <x:c r="M344" s="7" t="str">
        <x:v>Series hub</x:v>
      </x:c>
      <x:c r="N344" s="7" t="n">
        <x:v>5</x:v>
      </x:c>
      <x:c r="O344" s="7" t="n">
        <x:f>IF(B344&gt;=1000,5,IF(B344&gt;=300,4,IF(B344&gt;=100,3,IF(B344&gt;=30,2,IF(B344&gt;=10,1,0)))))</x:f>
        <x:v>0</x:v>
      </x:c>
      <x:c r="P344" s="7" t="n">
        <x:f>IF(C344&gt;=5,4,IF(C344&gt;=2,3,IF(C344&gt;=1,2,IF(C344&gt;0,1,0))))</x:f>
        <x:v>0</x:v>
      </x:c>
      <x:c r="Q344" s="7" t="n">
        <x:f>N344*2+O344+P344+IF(F344&gt;=0.2,1,0)+IF(K344="Gap",2,0)-IF(I344&lt;=2,5,0)</x:f>
        <x:v>10</x:v>
      </x:c>
      <x:c r="R344" s="7" t="str">
        <x:f>IF(I344&lt;=2,"D",IF(Q344&gt;=15,"A",IF(Q344&gt;=11,"B",IF(Q344&gt;=7,"C","D"))))</x:f>
        <x:v>C</x:v>
      </x:c>
      <x:c r="S344" s="12" t="n">
        <x:f>B344*'Dashboard'!$B$11</x:f>
        <x:v>0</x:v>
      </x:c>
      <x:c r="T344" s="10" t="n">
        <x:f>S344*'Dashboard'!$D$11</x:f>
        <x:v>0</x:v>
      </x:c>
      <x:c r="U344" s="7" t="str">
        <x:v>Low-volume commercial long tail; retain only when real supply evidence is available.</x:v>
      </x:c>
    </x:row>
    <x:row r="345" ht="19" customHeight="1">
      <x:c r="A345" s="7" t="str">
        <x:v>tmb seal kit</x:v>
      </x:c>
      <x:c r="B345" s="8" t="n">
        <x:v>0</x:v>
      </x:c>
      <x:c r="C345" s="9" t="n">
        <x:v>0</x:v>
      </x:c>
      <x:c r="D345" s="10" t="n">
        <x:v>0</x:v>
      </x:c>
      <x:c r="E345" s="8" t="n">
        <x:v>0</x:v>
      </x:c>
      <x:c r="F345" s="11" t="n">
        <x:v>0</x:v>
      </x:c>
      <x:c r="G345" s="7" t="str">
        <x:v>Commercial</x:v>
      </x:c>
      <x:c r="H345" s="7" t="str">
        <x:v>Repair Kits &amp; Service Parts</x:v>
      </x:c>
      <x:c r="I345" s="7" t="n">
        <x:v>5</x:v>
      </x:c>
      <x:c r="J345" s="7" t="str">
        <x:v>/series/tmb/</x:v>
      </x:c>
      <x:c r="K345" s="7" t="str">
        <x:v>Covered</x:v>
      </x:c>
      <x:c r="L345" s="7" t="str">
        <x:v>Optimize existing page</x:v>
      </x:c>
      <x:c r="M345" s="7" t="str">
        <x:v>Series hub</x:v>
      </x:c>
      <x:c r="N345" s="7" t="n">
        <x:v>5</x:v>
      </x:c>
      <x:c r="O345" s="7" t="n">
        <x:f>IF(B345&gt;=1000,5,IF(B345&gt;=300,4,IF(B345&gt;=100,3,IF(B345&gt;=30,2,IF(B345&gt;=10,1,0)))))</x:f>
        <x:v>0</x:v>
      </x:c>
      <x:c r="P345" s="7" t="n">
        <x:f>IF(C345&gt;=5,4,IF(C345&gt;=2,3,IF(C345&gt;=1,2,IF(C345&gt;0,1,0))))</x:f>
        <x:v>0</x:v>
      </x:c>
      <x:c r="Q345" s="7" t="n">
        <x:f>N345*2+O345+P345+IF(F345&gt;=0.2,1,0)+IF(K345="Gap",2,0)-IF(I345&lt;=2,5,0)</x:f>
        <x:v>10</x:v>
      </x:c>
      <x:c r="R345" s="7" t="str">
        <x:f>IF(I345&lt;=2,"D",IF(Q345&gt;=15,"A",IF(Q345&gt;=11,"B",IF(Q345&gt;=7,"C","D"))))</x:f>
        <x:v>C</x:v>
      </x:c>
      <x:c r="S345" s="12" t="n">
        <x:f>B345*'Dashboard'!$B$11</x:f>
        <x:v>0</x:v>
      </x:c>
      <x:c r="T345" s="10" t="n">
        <x:f>S345*'Dashboard'!$D$11</x:f>
        <x:v>0</x:v>
      </x:c>
      <x:c r="U345" s="7" t="str">
        <x:v>Low-volume commercial long tail; retain only when real supply evidence is available.</x:v>
      </x:c>
    </x:row>
    <x:row r="346" ht="19" customHeight="1">
      <x:c r="A346" s="7" t="str">
        <x:v>tmb supplier</x:v>
      </x:c>
      <x:c r="B346" s="8" t="n">
        <x:v>0</x:v>
      </x:c>
      <x:c r="C346" s="9" t="n">
        <x:v>0</x:v>
      </x:c>
      <x:c r="D346" s="10" t="n">
        <x:v>0</x:v>
      </x:c>
      <x:c r="E346" s="8" t="n">
        <x:v>0</x:v>
      </x:c>
      <x:c r="F346" s="11" t="n">
        <x:v>0</x:v>
      </x:c>
      <x:c r="G346" s="7" t="str">
        <x:v>Transactional</x:v>
      </x:c>
      <x:c r="H346" s="7" t="str">
        <x:v>Hydraulic Motors</x:v>
      </x:c>
      <x:c r="I346" s="7" t="n">
        <x:v>5</x:v>
      </x:c>
      <x:c r="J346" s="7" t="str">
        <x:v>/series/tmb/</x:v>
      </x:c>
      <x:c r="K346" s="7" t="str">
        <x:v>Covered</x:v>
      </x:c>
      <x:c r="L346" s="7" t="str">
        <x:v>Optimize existing page</x:v>
      </x:c>
      <x:c r="M346" s="7" t="str">
        <x:v>Series hub</x:v>
      </x:c>
      <x:c r="N346" s="7" t="n">
        <x:v>5</x:v>
      </x:c>
      <x:c r="O346" s="7" t="n">
        <x:f>IF(B346&gt;=1000,5,IF(B346&gt;=300,4,IF(B346&gt;=100,3,IF(B346&gt;=30,2,IF(B346&gt;=10,1,0)))))</x:f>
        <x:v>0</x:v>
      </x:c>
      <x:c r="P346" s="7" t="n">
        <x:f>IF(C346&gt;=5,4,IF(C346&gt;=2,3,IF(C346&gt;=1,2,IF(C346&gt;0,1,0))))</x:f>
        <x:v>0</x:v>
      </x:c>
      <x:c r="Q346" s="7" t="n">
        <x:f>N346*2+O346+P346+IF(F346&gt;=0.2,1,0)+IF(K346="Gap",2,0)-IF(I346&lt;=2,5,0)</x:f>
        <x:v>10</x:v>
      </x:c>
      <x:c r="R346" s="7" t="str">
        <x:f>IF(I346&lt;=2,"D",IF(Q346&gt;=15,"A",IF(Q346&gt;=11,"B",IF(Q346&gt;=7,"C","D"))))</x:f>
        <x:v>C</x:v>
      </x:c>
      <x:c r="S346" s="12" t="n">
        <x:f>B346*'Dashboard'!$B$11</x:f>
        <x:v>0</x:v>
      </x:c>
      <x:c r="T346" s="10" t="n">
        <x:f>S346*'Dashboard'!$D$11</x:f>
        <x:v>0</x:v>
      </x:c>
      <x:c r="U346" s="7" t="str">
        <x:v>Low-volume commercial long tail; retain only when real supply evidence is available.</x:v>
      </x:c>
    </x:row>
    <x:row r="347" ht="19" customHeight="1">
      <x:c r="A347" s="7" t="str">
        <x:v>variable displacement pump aftermarket</x:v>
      </x:c>
      <x:c r="B347" s="8" t="n">
        <x:v>0</x:v>
      </x:c>
      <x:c r="C347" s="9" t="n">
        <x:v>0</x:v>
      </x:c>
      <x:c r="D347" s="10" t="n">
        <x:v>0</x:v>
      </x:c>
      <x:c r="E347" s="8" t="n">
        <x:v>0</x:v>
      </x:c>
      <x:c r="F347" s="11" t="n">
        <x:v>0</x:v>
      </x:c>
      <x:c r="G347" s="7" t="str">
        <x:v>Commercial</x:v>
      </x:c>
      <x:c r="H347" s="7" t="str">
        <x:v>Replacement &amp; Cross-reference</x:v>
      </x:c>
      <x:c r="I347" s="7" t="n">
        <x:v>3</x:v>
      </x:c>
      <x:c r="J347" s="7" t="str">
        <x:v>/products/hydraulic-pumps/</x:v>
      </x:c>
      <x:c r="K347" s="7" t="str">
        <x:v>Covered</x:v>
      </x:c>
      <x:c r="L347" s="7" t="str">
        <x:v>Optimize existing page</x:v>
      </x:c>
      <x:c r="M347" s="7" t="str">
        <x:v>Alternative / cross-reference</x:v>
      </x:c>
      <x:c r="N347" s="7" t="n">
        <x:v>5</x:v>
      </x:c>
      <x:c r="O347" s="7" t="n">
        <x:f>IF(B347&gt;=1000,5,IF(B347&gt;=300,4,IF(B347&gt;=100,3,IF(B347&gt;=30,2,IF(B347&gt;=10,1,0)))))</x:f>
        <x:v>0</x:v>
      </x:c>
      <x:c r="P347" s="7" t="n">
        <x:f>IF(C347&gt;=5,4,IF(C347&gt;=2,3,IF(C347&gt;=1,2,IF(C347&gt;0,1,0))))</x:f>
        <x:v>0</x:v>
      </x:c>
      <x:c r="Q347" s="7" t="n">
        <x:f>N347*2+O347+P347+IF(F347&gt;=0.2,1,0)+IF(K347="Gap",2,0)-IF(I347&lt;=2,5,0)</x:f>
        <x:v>10</x:v>
      </x:c>
      <x:c r="R347" s="7" t="str">
        <x:f>IF(I347&lt;=2,"D",IF(Q347&gt;=15,"A",IF(Q347&gt;=11,"B",IF(Q347&gt;=7,"C","D"))))</x:f>
        <x:v>C</x:v>
      </x:c>
      <x:c r="S347" s="12" t="n">
        <x:f>B347*'Dashboard'!$B$11</x:f>
        <x:v>0</x:v>
      </x:c>
      <x:c r="T347" s="10" t="n">
        <x:f>S347*'Dashboard'!$D$11</x:f>
        <x:v>0</x:v>
      </x:c>
      <x:c r="U347" s="7" t="str">
        <x:v>Low-volume commercial long tail; retain only when real supply evidence is available.</x:v>
      </x:c>
    </x:row>
    <x:row r="348" ht="19" customHeight="1">
      <x:c r="A348" s="7" t="str">
        <x:v>variable displacement pump in stock</x:v>
      </x:c>
      <x:c r="B348" s="8" t="n">
        <x:v>0</x:v>
      </x:c>
      <x:c r="C348" s="9" t="n">
        <x:v>0</x:v>
      </x:c>
      <x:c r="D348" s="10" t="n">
        <x:v>0</x:v>
      </x:c>
      <x:c r="E348" s="8" t="n">
        <x:v>0</x:v>
      </x:c>
      <x:c r="F348" s="11" t="n">
        <x:v>0</x:v>
      </x:c>
      <x:c r="G348" s="7" t="str">
        <x:v>Transactional</x:v>
      </x:c>
      <x:c r="H348" s="7" t="str">
        <x:v>Hydraulic Pumps</x:v>
      </x:c>
      <x:c r="I348" s="7" t="n">
        <x:v>3</x:v>
      </x:c>
      <x:c r="J348" s="7" t="str">
        <x:v>/products/hydraulic-pumps/</x:v>
      </x:c>
      <x:c r="K348" s="7" t="str">
        <x:v>Covered</x:v>
      </x:c>
      <x:c r="L348" s="7" t="str">
        <x:v>Optimize existing page</x:v>
      </x:c>
      <x:c r="M348" s="7" t="str">
        <x:v>Product / category</x:v>
      </x:c>
      <x:c r="N348" s="7" t="n">
        <x:v>5</x:v>
      </x:c>
      <x:c r="O348" s="7" t="n">
        <x:f>IF(B348&gt;=1000,5,IF(B348&gt;=300,4,IF(B348&gt;=100,3,IF(B348&gt;=30,2,IF(B348&gt;=10,1,0)))))</x:f>
        <x:v>0</x:v>
      </x:c>
      <x:c r="P348" s="7" t="n">
        <x:f>IF(C348&gt;=5,4,IF(C348&gt;=2,3,IF(C348&gt;=1,2,IF(C348&gt;0,1,0))))</x:f>
        <x:v>0</x:v>
      </x:c>
      <x:c r="Q348" s="7" t="n">
        <x:f>N348*2+O348+P348+IF(F348&gt;=0.2,1,0)+IF(K348="Gap",2,0)-IF(I348&lt;=2,5,0)</x:f>
        <x:v>10</x:v>
      </x:c>
      <x:c r="R348" s="7" t="str">
        <x:f>IF(I348&lt;=2,"D",IF(Q348&gt;=15,"A",IF(Q348&gt;=11,"B",IF(Q348&gt;=7,"C","D"))))</x:f>
        <x:v>C</x:v>
      </x:c>
      <x:c r="S348" s="12" t="n">
        <x:f>B348*'Dashboard'!$B$11</x:f>
        <x:v>0</x:v>
      </x:c>
      <x:c r="T348" s="10" t="n">
        <x:f>S348*'Dashboard'!$D$11</x:f>
        <x:v>0</x:v>
      </x:c>
      <x:c r="U348" s="7" t="str">
        <x:v>Low-volume commercial long tail; retain only when real supply evidence is available.</x:v>
      </x:c>
    </x:row>
    <x:row r="349" ht="19" customHeight="1">
      <x:c r="A349" s="7" t="str">
        <x:v>variable displacement pump manufacturer</x:v>
      </x:c>
      <x:c r="B349" s="8" t="n">
        <x:v>0</x:v>
      </x:c>
      <x:c r="C349" s="9" t="n">
        <x:v>0</x:v>
      </x:c>
      <x:c r="D349" s="10" t="n">
        <x:v>0</x:v>
      </x:c>
      <x:c r="E349" s="8" t="n">
        <x:v>0</x:v>
      </x:c>
      <x:c r="F349" s="11" t="n">
        <x:v>0</x:v>
      </x:c>
      <x:c r="G349" s="7" t="str">
        <x:v>Transactional</x:v>
      </x:c>
      <x:c r="H349" s="7" t="str">
        <x:v>Hydraulic Pumps</x:v>
      </x:c>
      <x:c r="I349" s="7" t="n">
        <x:v>3</x:v>
      </x:c>
      <x:c r="J349" s="7" t="str">
        <x:v>/products/hydraulic-pumps/</x:v>
      </x:c>
      <x:c r="K349" s="7" t="str">
        <x:v>Covered</x:v>
      </x:c>
      <x:c r="L349" s="7" t="str">
        <x:v>Optimize existing page</x:v>
      </x:c>
      <x:c r="M349" s="7" t="str">
        <x:v>Product / category</x:v>
      </x:c>
      <x:c r="N349" s="7" t="n">
        <x:v>5</x:v>
      </x:c>
      <x:c r="O349" s="7" t="n">
        <x:f>IF(B349&gt;=1000,5,IF(B349&gt;=300,4,IF(B349&gt;=100,3,IF(B349&gt;=30,2,IF(B349&gt;=10,1,0)))))</x:f>
        <x:v>0</x:v>
      </x:c>
      <x:c r="P349" s="7" t="n">
        <x:f>IF(C349&gt;=5,4,IF(C349&gt;=2,3,IF(C349&gt;=1,2,IF(C349&gt;0,1,0))))</x:f>
        <x:v>0</x:v>
      </x:c>
      <x:c r="Q349" s="7" t="n">
        <x:f>N349*2+O349+P349+IF(F349&gt;=0.2,1,0)+IF(K349="Gap",2,0)-IF(I349&lt;=2,5,0)</x:f>
        <x:v>10</x:v>
      </x:c>
      <x:c r="R349" s="7" t="str">
        <x:f>IF(I349&lt;=2,"D",IF(Q349&gt;=15,"A",IF(Q349&gt;=11,"B",IF(Q349&gt;=7,"C","D"))))</x:f>
        <x:v>C</x:v>
      </x:c>
      <x:c r="S349" s="12" t="n">
        <x:f>B349*'Dashboard'!$B$11</x:f>
        <x:v>0</x:v>
      </x:c>
      <x:c r="T349" s="10" t="n">
        <x:f>S349*'Dashboard'!$D$11</x:f>
        <x:v>0</x:v>
      </x:c>
      <x:c r="U349" s="7" t="str">
        <x:v>Low-volume commercial long tail; retain only when real supply evidence is available.</x:v>
      </x:c>
    </x:row>
    <x:row r="350" ht="19" customHeight="1">
      <x:c r="A350" s="7" t="str">
        <x:v>variable displacement pump replacement</x:v>
      </x:c>
      <x:c r="B350" s="8" t="n">
        <x:v>0</x:v>
      </x:c>
      <x:c r="C350" s="9" t="n">
        <x:v>0</x:v>
      </x:c>
      <x:c r="D350" s="10" t="n">
        <x:v>0</x:v>
      </x:c>
      <x:c r="E350" s="8" t="n">
        <x:v>0</x:v>
      </x:c>
      <x:c r="F350" s="11" t="n">
        <x:v>0</x:v>
      </x:c>
      <x:c r="G350" s="7" t="str">
        <x:v>Commercial</x:v>
      </x:c>
      <x:c r="H350" s="7" t="str">
        <x:v>Replacement &amp; Cross-reference</x:v>
      </x:c>
      <x:c r="I350" s="7" t="n">
        <x:v>3</x:v>
      </x:c>
      <x:c r="J350" s="7" t="str">
        <x:v>/products/hydraulic-pumps/</x:v>
      </x:c>
      <x:c r="K350" s="7" t="str">
        <x:v>Covered</x:v>
      </x:c>
      <x:c r="L350" s="7" t="str">
        <x:v>Optimize existing page</x:v>
      </x:c>
      <x:c r="M350" s="7" t="str">
        <x:v>Alternative / cross-reference</x:v>
      </x:c>
      <x:c r="N350" s="7" t="n">
        <x:v>5</x:v>
      </x:c>
      <x:c r="O350" s="7" t="n">
        <x:f>IF(B350&gt;=1000,5,IF(B350&gt;=300,4,IF(B350&gt;=100,3,IF(B350&gt;=30,2,IF(B350&gt;=10,1,0)))))</x:f>
        <x:v>0</x:v>
      </x:c>
      <x:c r="P350" s="7" t="n">
        <x:f>IF(C350&gt;=5,4,IF(C350&gt;=2,3,IF(C350&gt;=1,2,IF(C350&gt;0,1,0))))</x:f>
        <x:v>0</x:v>
      </x:c>
      <x:c r="Q350" s="7" t="n">
        <x:f>N350*2+O350+P350+IF(F350&gt;=0.2,1,0)+IF(K350="Gap",2,0)-IF(I350&lt;=2,5,0)</x:f>
        <x:v>10</x:v>
      </x:c>
      <x:c r="R350" s="7" t="str">
        <x:f>IF(I350&lt;=2,"D",IF(Q350&gt;=15,"A",IF(Q350&gt;=11,"B",IF(Q350&gt;=7,"C","D"))))</x:f>
        <x:v>C</x:v>
      </x:c>
      <x:c r="S350" s="12" t="n">
        <x:f>B350*'Dashboard'!$B$11</x:f>
        <x:v>0</x:v>
      </x:c>
      <x:c r="T350" s="10" t="n">
        <x:f>S350*'Dashboard'!$D$11</x:f>
        <x:v>0</x:v>
      </x:c>
      <x:c r="U350" s="7" t="str">
        <x:v>Low-volume commercial long tail; retain only when real supply evidence is available.</x:v>
      </x:c>
    </x:row>
    <x:row r="351" ht="19" customHeight="1">
      <x:c r="A351" s="7" t="str">
        <x:v>variable displacement pump supplier</x:v>
      </x:c>
      <x:c r="B351" s="8" t="n">
        <x:v>0</x:v>
      </x:c>
      <x:c r="C351" s="9" t="n">
        <x:v>0</x:v>
      </x:c>
      <x:c r="D351" s="10" t="n">
        <x:v>0</x:v>
      </x:c>
      <x:c r="E351" s="8" t="n">
        <x:v>0</x:v>
      </x:c>
      <x:c r="F351" s="11" t="n">
        <x:v>0</x:v>
      </x:c>
      <x:c r="G351" s="7" t="str">
        <x:v>Transactional</x:v>
      </x:c>
      <x:c r="H351" s="7" t="str">
        <x:v>Hydraulic Pumps</x:v>
      </x:c>
      <x:c r="I351" s="7" t="n">
        <x:v>3</x:v>
      </x:c>
      <x:c r="J351" s="7" t="str">
        <x:v>/products/hydraulic-pumps/</x:v>
      </x:c>
      <x:c r="K351" s="7" t="str">
        <x:v>Covered</x:v>
      </x:c>
      <x:c r="L351" s="7" t="str">
        <x:v>Optimize existing page</x:v>
      </x:c>
      <x:c r="M351" s="7" t="str">
        <x:v>Product / category</x:v>
      </x:c>
      <x:c r="N351" s="7" t="n">
        <x:v>5</x:v>
      </x:c>
      <x:c r="O351" s="7" t="n">
        <x:f>IF(B351&gt;=1000,5,IF(B351&gt;=300,4,IF(B351&gt;=100,3,IF(B351&gt;=30,2,IF(B351&gt;=10,1,0)))))</x:f>
        <x:v>0</x:v>
      </x:c>
      <x:c r="P351" s="7" t="n">
        <x:f>IF(C351&gt;=5,4,IF(C351&gt;=2,3,IF(C351&gt;=1,2,IF(C351&gt;0,1,0))))</x:f>
        <x:v>0</x:v>
      </x:c>
      <x:c r="Q351" s="7" t="n">
        <x:f>N351*2+O351+P351+IF(F351&gt;=0.2,1,0)+IF(K351="Gap",2,0)-IF(I351&lt;=2,5,0)</x:f>
        <x:v>10</x:v>
      </x:c>
      <x:c r="R351" s="7" t="str">
        <x:f>IF(I351&lt;=2,"D",IF(Q351&gt;=15,"A",IF(Q351&gt;=11,"B",IF(Q351&gt;=7,"C","D"))))</x:f>
        <x:v>C</x:v>
      </x:c>
      <x:c r="S351" s="12" t="n">
        <x:f>B351*'Dashboard'!$B$11</x:f>
        <x:v>0</x:v>
      </x:c>
      <x:c r="T351" s="10" t="n">
        <x:f>S351*'Dashboard'!$D$11</x:f>
        <x:v>0</x:v>
      </x:c>
      <x:c r="U351" s="7" t="str">
        <x:v>Low-volume commercial long tail; retain only when real supply evidence is available.</x:v>
      </x:c>
    </x:row>
    <x:row r="352" ht="19" customHeight="1">
      <x:c r="A352" s="7" t="str">
        <x:v>yuken parts</x:v>
      </x:c>
      <x:c r="B352" s="8" t="n">
        <x:v>0</x:v>
      </x:c>
      <x:c r="C352" s="9" t="n">
        <x:v>0</x:v>
      </x:c>
      <x:c r="D352" s="10" t="n">
        <x:v>0</x:v>
      </x:c>
      <x:c r="E352" s="8" t="n">
        <x:v>0</x:v>
      </x:c>
      <x:c r="F352" s="11" t="n">
        <x:v>0</x:v>
      </x:c>
      <x:c r="G352" s="7" t="str">
        <x:v>Commercial</x:v>
      </x:c>
      <x:c r="H352" s="7" t="str">
        <x:v>Brand Coverage</x:v>
      </x:c>
      <x:c r="I352" s="7" t="n">
        <x:v>4</x:v>
      </x:c>
      <x:c r="J352" s="7" t="str">
        <x:v>/brands/yuken/</x:v>
      </x:c>
      <x:c r="K352" s="7" t="str">
        <x:v>Covered</x:v>
      </x:c>
      <x:c r="L352" s="7" t="str">
        <x:v>Optimize existing page</x:v>
      </x:c>
      <x:c r="M352" s="7" t="str">
        <x:v>Brand hub</x:v>
      </x:c>
      <x:c r="N352" s="7" t="n">
        <x:v>5</x:v>
      </x:c>
      <x:c r="O352" s="7" t="n">
        <x:f>IF(B352&gt;=1000,5,IF(B352&gt;=300,4,IF(B352&gt;=100,3,IF(B352&gt;=30,2,IF(B352&gt;=10,1,0)))))</x:f>
        <x:v>0</x:v>
      </x:c>
      <x:c r="P352" s="7" t="n">
        <x:f>IF(C352&gt;=5,4,IF(C352&gt;=2,3,IF(C352&gt;=1,2,IF(C352&gt;0,1,0))))</x:f>
        <x:v>0</x:v>
      </x:c>
      <x:c r="Q352" s="7" t="n">
        <x:f>N352*2+O352+P352+IF(F352&gt;=0.2,1,0)+IF(K352="Gap",2,0)-IF(I352&lt;=2,5,0)</x:f>
        <x:v>10</x:v>
      </x:c>
      <x:c r="R352" s="7" t="str">
        <x:f>IF(I352&lt;=2,"D",IF(Q352&gt;=15,"A",IF(Q352&gt;=11,"B",IF(Q352&gt;=7,"C","D"))))</x:f>
        <x:v>C</x:v>
      </x:c>
      <x:c r="S352" s="12" t="n">
        <x:f>B352*'Dashboard'!$B$11</x:f>
        <x:v>0</x:v>
      </x:c>
      <x:c r="T352" s="10" t="n">
        <x:f>S352*'Dashboard'!$D$11</x:f>
        <x:v>0</x:v>
      </x:c>
      <x:c r="U352" s="7" t="str">
        <x:v>Low-volume commercial long tail; retain only when real supply evidence is available.</x:v>
      </x:c>
    </x:row>
    <x:row r="353" ht="19" customHeight="1">
      <x:c r="A353" s="7" t="str">
        <x:v>yuken replacement</x:v>
      </x:c>
      <x:c r="B353" s="8" t="n">
        <x:v>0</x:v>
      </x:c>
      <x:c r="C353" s="9" t="n">
        <x:v>0</x:v>
      </x:c>
      <x:c r="D353" s="10" t="n">
        <x:v>0</x:v>
      </x:c>
      <x:c r="E353" s="8" t="n">
        <x:v>0</x:v>
      </x:c>
      <x:c r="F353" s="11" t="n">
        <x:v>0</x:v>
      </x:c>
      <x:c r="G353" s="7" t="str">
        <x:v>Commercial</x:v>
      </x:c>
      <x:c r="H353" s="7" t="str">
        <x:v>Replacement &amp; Cross-reference</x:v>
      </x:c>
      <x:c r="I353" s="7" t="n">
        <x:v>4</x:v>
      </x:c>
      <x:c r="J353" s="7" t="str">
        <x:v>/brands/yuken/</x:v>
      </x:c>
      <x:c r="K353" s="7" t="str">
        <x:v>Covered</x:v>
      </x:c>
      <x:c r="L353" s="7" t="str">
        <x:v>Optimize existing page</x:v>
      </x:c>
      <x:c r="M353" s="7" t="str">
        <x:v>Brand hub</x:v>
      </x:c>
      <x:c r="N353" s="7" t="n">
        <x:v>5</x:v>
      </x:c>
      <x:c r="O353" s="7" t="n">
        <x:f>IF(B353&gt;=1000,5,IF(B353&gt;=300,4,IF(B353&gt;=100,3,IF(B353&gt;=30,2,IF(B353&gt;=10,1,0)))))</x:f>
        <x:v>0</x:v>
      </x:c>
      <x:c r="P353" s="7" t="n">
        <x:f>IF(C353&gt;=5,4,IF(C353&gt;=2,3,IF(C353&gt;=1,2,IF(C353&gt;0,1,0))))</x:f>
        <x:v>0</x:v>
      </x:c>
      <x:c r="Q353" s="7" t="n">
        <x:f>N353*2+O353+P353+IF(F353&gt;=0.2,1,0)+IF(K353="Gap",2,0)-IF(I353&lt;=2,5,0)</x:f>
        <x:v>10</x:v>
      </x:c>
      <x:c r="R353" s="7" t="str">
        <x:f>IF(I353&lt;=2,"D",IF(Q353&gt;=15,"A",IF(Q353&gt;=11,"B",IF(Q353&gt;=7,"C","D"))))</x:f>
        <x:v>C</x:v>
      </x:c>
      <x:c r="S353" s="12" t="n">
        <x:f>B353*'Dashboard'!$B$11</x:f>
        <x:v>0</x:v>
      </x:c>
      <x:c r="T353" s="10" t="n">
        <x:f>S353*'Dashboard'!$D$11</x:f>
        <x:v>0</x:v>
      </x:c>
      <x:c r="U353" s="7" t="str">
        <x:v>Low-volume commercial long tail; retain only when real supply evidence is available.</x:v>
      </x:c>
    </x:row>
    <x:row r="354" ht="19" customHeight="1">
      <x:c r="A354" s="7" t="str">
        <x:v>yuken hydraulic valve</x:v>
      </x:c>
      <x:c r="B354" s="8" t="n">
        <x:v>20</x:v>
      </x:c>
      <x:c r="C354" s="9" t="n">
        <x:v>0</x:v>
      </x:c>
      <x:c r="D354" s="10" t="n">
        <x:v>0.73</x:v>
      </x:c>
      <x:c r="E354" s="8" t="n">
        <x:v>10</x:v>
      </x:c>
      <x:c r="F354" s="11" t="n">
        <x:v>-0.45454545454545453</x:v>
      </x:c>
      <x:c r="G354" s="7" t="str">
        <x:v>Product research</x:v>
      </x:c>
      <x:c r="H354" s="7" t="str">
        <x:v>Hydraulic Valves</x:v>
      </x:c>
      <x:c r="I354" s="7" t="n">
        <x:v>5</x:v>
      </x:c>
      <x:c r="J354" s="7" t="str">
        <x:v>/products/hydraulic-valves/</x:v>
      </x:c>
      <x:c r="K354" s="7" t="str">
        <x:v>Covered</x:v>
      </x:c>
      <x:c r="L354" s="7" t="str">
        <x:v>Optimize existing page</x:v>
      </x:c>
      <x:c r="M354" s="7" t="str">
        <x:v>Product / category</x:v>
      </x:c>
      <x:c r="N354" s="7" t="n">
        <x:v>4</x:v>
      </x:c>
      <x:c r="O354" s="7" t="n">
        <x:f>IF(B354&gt;=1000,5,IF(B354&gt;=300,4,IF(B354&gt;=100,3,IF(B354&gt;=30,2,IF(B354&gt;=10,1,0)))))</x:f>
        <x:v>1</x:v>
      </x:c>
      <x:c r="P354" s="7" t="n">
        <x:f>IF(C354&gt;=5,4,IF(C354&gt;=2,3,IF(C354&gt;=1,2,IF(C354&gt;0,1,0))))</x:f>
        <x:v>0</x:v>
      </x:c>
      <x:c r="Q354" s="7" t="n">
        <x:f>N354*2+O354+P354+IF(F354&gt;=0.2,1,0)+IF(K354="Gap",2,0)-IF(I354&lt;=2,5,0)</x:f>
        <x:v>9</x:v>
      </x:c>
      <x:c r="R354" s="7" t="str">
        <x:f>IF(I354&lt;=2,"D",IF(Q354&gt;=15,"A",IF(Q354&gt;=11,"B",IF(Q354&gt;=7,"C","D"))))</x:f>
        <x:v>C</x:v>
      </x:c>
      <x:c r="S354" s="12" t="n">
        <x:f>B354*'Dashboard'!$B$11</x:f>
        <x:v>2</x:v>
      </x:c>
      <x:c r="T354" s="10" t="n">
        <x:f>S354*'Dashboard'!$D$11</x:f>
        <x:v>0.04</x:v>
      </x:c>
      <x:c r="U354" s="7" t="str">
        <x:v>Align title, evidence, internal links and RFQ CTA with this search intent.</x:v>
      </x:c>
    </x:row>
    <x:row r="355" ht="19" customHeight="1">
      <x:c r="A355" s="7" t="str">
        <x:v>atos hydraulic pump</x:v>
      </x:c>
      <x:c r="B355" s="8" t="n">
        <x:v>10</x:v>
      </x:c>
      <x:c r="C355" s="9" t="n">
        <x:v>0</x:v>
      </x:c>
      <x:c r="D355" s="10" t="n">
        <x:v>0.64</x:v>
      </x:c>
      <x:c r="E355" s="8" t="n">
        <x:v>10</x:v>
      </x:c>
      <x:c r="F355" s="11" t="n">
        <x:v>-0.07692307692307697</x:v>
      </x:c>
      <x:c r="G355" s="7" t="str">
        <x:v>Product research</x:v>
      </x:c>
      <x:c r="H355" s="7" t="str">
        <x:v>Hydraulic Pumps</x:v>
      </x:c>
      <x:c r="I355" s="7" t="n">
        <x:v>5</x:v>
      </x:c>
      <x:c r="J355" s="7" t="str">
        <x:v>/products/hydraulic-pumps/</x:v>
      </x:c>
      <x:c r="K355" s="7" t="str">
        <x:v>Covered</x:v>
      </x:c>
      <x:c r="L355" s="7" t="str">
        <x:v>Optimize existing page</x:v>
      </x:c>
      <x:c r="M355" s="7" t="str">
        <x:v>Product / category</x:v>
      </x:c>
      <x:c r="N355" s="7" t="n">
        <x:v>4</x:v>
      </x:c>
      <x:c r="O355" s="7" t="n">
        <x:f>IF(B355&gt;=1000,5,IF(B355&gt;=300,4,IF(B355&gt;=100,3,IF(B355&gt;=30,2,IF(B355&gt;=10,1,0)))))</x:f>
        <x:v>1</x:v>
      </x:c>
      <x:c r="P355" s="7" t="n">
        <x:f>IF(C355&gt;=5,4,IF(C355&gt;=2,3,IF(C355&gt;=1,2,IF(C355&gt;0,1,0))))</x:f>
        <x:v>0</x:v>
      </x:c>
      <x:c r="Q355" s="7" t="n">
        <x:f>N355*2+O355+P355+IF(F355&gt;=0.2,1,0)+IF(K355="Gap",2,0)-IF(I355&lt;=2,5,0)</x:f>
        <x:v>9</x:v>
      </x:c>
      <x:c r="R355" s="7" t="str">
        <x:f>IF(I355&lt;=2,"D",IF(Q355&gt;=15,"A",IF(Q355&gt;=11,"B",IF(Q355&gt;=7,"C","D"))))</x:f>
        <x:v>C</x:v>
      </x:c>
      <x:c r="S355" s="12" t="n">
        <x:f>B355*'Dashboard'!$B$11</x:f>
        <x:v>1</x:v>
      </x:c>
      <x:c r="T355" s="10" t="n">
        <x:f>S355*'Dashboard'!$D$11</x:f>
        <x:v>0.02</x:v>
      </x:c>
      <x:c r="U355" s="7" t="str">
        <x:v>Align title, evidence, internal links and RFQ CTA with this search intent.</x:v>
      </x:c>
    </x:row>
    <x:row r="356" ht="19" customHeight="1">
      <x:c r="A356" s="7" t="str">
        <x:v>caterpillar hydraulic valve</x:v>
      </x:c>
      <x:c r="B356" s="8" t="n">
        <x:v>10</x:v>
      </x:c>
      <x:c r="C356" s="9" t="n">
        <x:v>0</x:v>
      </x:c>
      <x:c r="D356" s="10" t="n">
        <x:v>0.16</x:v>
      </x:c>
      <x:c r="E356" s="8" t="n">
        <x:v>10</x:v>
      </x:c>
      <x:c r="F356" s="11" t="n">
        <x:v>-0.07692307692307697</x:v>
      </x:c>
      <x:c r="G356" s="7" t="str">
        <x:v>Product research</x:v>
      </x:c>
      <x:c r="H356" s="7" t="str">
        <x:v>Hydraulic Valves</x:v>
      </x:c>
      <x:c r="I356" s="7" t="n">
        <x:v>5</x:v>
      </x:c>
      <x:c r="J356" s="7" t="str">
        <x:v>/products/hydraulic-valves/</x:v>
      </x:c>
      <x:c r="K356" s="7" t="str">
        <x:v>Covered</x:v>
      </x:c>
      <x:c r="L356" s="7" t="str">
        <x:v>Optimize existing page</x:v>
      </x:c>
      <x:c r="M356" s="7" t="str">
        <x:v>Product / category</x:v>
      </x:c>
      <x:c r="N356" s="7" t="n">
        <x:v>4</x:v>
      </x:c>
      <x:c r="O356" s="7" t="n">
        <x:f>IF(B356&gt;=1000,5,IF(B356&gt;=300,4,IF(B356&gt;=100,3,IF(B356&gt;=30,2,IF(B356&gt;=10,1,0)))))</x:f>
        <x:v>1</x:v>
      </x:c>
      <x:c r="P356" s="7" t="n">
        <x:f>IF(C356&gt;=5,4,IF(C356&gt;=2,3,IF(C356&gt;=1,2,IF(C356&gt;0,1,0))))</x:f>
        <x:v>0</x:v>
      </x:c>
      <x:c r="Q356" s="7" t="n">
        <x:f>N356*2+O356+P356+IF(F356&gt;=0.2,1,0)+IF(K356="Gap",2,0)-IF(I356&lt;=2,5,0)</x:f>
        <x:v>9</x:v>
      </x:c>
      <x:c r="R356" s="7" t="str">
        <x:f>IF(I356&lt;=2,"D",IF(Q356&gt;=15,"A",IF(Q356&gt;=11,"B",IF(Q356&gt;=7,"C","D"))))</x:f>
        <x:v>C</x:v>
      </x:c>
      <x:c r="S356" s="12" t="n">
        <x:f>B356*'Dashboard'!$B$11</x:f>
        <x:v>1</x:v>
      </x:c>
      <x:c r="T356" s="10" t="n">
        <x:f>S356*'Dashboard'!$D$11</x:f>
        <x:v>0.02</x:v>
      </x:c>
      <x:c r="U356" s="7" t="str">
        <x:v>Align title, evidence, internal links and RFQ CTA with this search intent.</x:v>
      </x:c>
    </x:row>
    <x:row r="357" ht="19" customHeight="1">
      <x:c r="A357" s="7" t="str">
        <x:v>denison hydraulic motor</x:v>
      </x:c>
      <x:c r="B357" s="8" t="n">
        <x:v>10</x:v>
      </x:c>
      <x:c r="C357" s="9" t="n">
        <x:v>0</x:v>
      </x:c>
      <x:c r="D357" s="10" t="n">
        <x:v>0.78</x:v>
      </x:c>
      <x:c r="E357" s="8" t="n">
        <x:v>10</x:v>
      </x:c>
      <x:c r="F357" s="11" t="n">
        <x:v>-0.07692307692307697</x:v>
      </x:c>
      <x:c r="G357" s="7" t="str">
        <x:v>Product research</x:v>
      </x:c>
      <x:c r="H357" s="7" t="str">
        <x:v>Hydraulic Motors</x:v>
      </x:c>
      <x:c r="I357" s="7" t="n">
        <x:v>5</x:v>
      </x:c>
      <x:c r="J357" s="7" t="str">
        <x:v>/products/hydraulic-motors/</x:v>
      </x:c>
      <x:c r="K357" s="7" t="str">
        <x:v>Covered</x:v>
      </x:c>
      <x:c r="L357" s="7" t="str">
        <x:v>Optimize existing page</x:v>
      </x:c>
      <x:c r="M357" s="7" t="str">
        <x:v>Product / category</x:v>
      </x:c>
      <x:c r="N357" s="7" t="n">
        <x:v>4</x:v>
      </x:c>
      <x:c r="O357" s="7" t="n">
        <x:f>IF(B357&gt;=1000,5,IF(B357&gt;=300,4,IF(B357&gt;=100,3,IF(B357&gt;=30,2,IF(B357&gt;=10,1,0)))))</x:f>
        <x:v>1</x:v>
      </x:c>
      <x:c r="P357" s="7" t="n">
        <x:f>IF(C357&gt;=5,4,IF(C357&gt;=2,3,IF(C357&gt;=1,2,IF(C357&gt;0,1,0))))</x:f>
        <x:v>0</x:v>
      </x:c>
      <x:c r="Q357" s="7" t="n">
        <x:f>N357*2+O357+P357+IF(F357&gt;=0.2,1,0)+IF(K357="Gap",2,0)-IF(I357&lt;=2,5,0)</x:f>
        <x:v>9</x:v>
      </x:c>
      <x:c r="R357" s="7" t="str">
        <x:f>IF(I357&lt;=2,"D",IF(Q357&gt;=15,"A",IF(Q357&gt;=11,"B",IF(Q357&gt;=7,"C","D"))))</x:f>
        <x:v>C</x:v>
      </x:c>
      <x:c r="S357" s="12" t="n">
        <x:f>B357*'Dashboard'!$B$11</x:f>
        <x:v>1</x:v>
      </x:c>
      <x:c r="T357" s="10" t="n">
        <x:f>S357*'Dashboard'!$D$11</x:f>
        <x:v>0.02</x:v>
      </x:c>
      <x:c r="U357" s="7" t="str">
        <x:v>Align title, evidence, internal links and RFQ CTA with this search intent.</x:v>
      </x:c>
    </x:row>
    <x:row r="358" ht="19" customHeight="1">
      <x:c r="A358" s="7" t="str">
        <x:v>denison hydraulic valve</x:v>
      </x:c>
      <x:c r="B358" s="8" t="n">
        <x:v>10</x:v>
      </x:c>
      <x:c r="C358" s="9" t="n">
        <x:v>0</x:v>
      </x:c>
      <x:c r="D358" s="10" t="n">
        <x:v>0.19</x:v>
      </x:c>
      <x:c r="E358" s="8" t="n">
        <x:v>10</x:v>
      </x:c>
      <x:c r="F358" s="11" t="n">
        <x:v>-0.07692307692307697</x:v>
      </x:c>
      <x:c r="G358" s="7" t="str">
        <x:v>Product research</x:v>
      </x:c>
      <x:c r="H358" s="7" t="str">
        <x:v>Hydraulic Valves</x:v>
      </x:c>
      <x:c r="I358" s="7" t="n">
        <x:v>5</x:v>
      </x:c>
      <x:c r="J358" s="7" t="str">
        <x:v>/products/hydraulic-valves/</x:v>
      </x:c>
      <x:c r="K358" s="7" t="str">
        <x:v>Covered</x:v>
      </x:c>
      <x:c r="L358" s="7" t="str">
        <x:v>Optimize existing page</x:v>
      </x:c>
      <x:c r="M358" s="7" t="str">
        <x:v>Product / category</x:v>
      </x:c>
      <x:c r="N358" s="7" t="n">
        <x:v>4</x:v>
      </x:c>
      <x:c r="O358" s="7" t="n">
        <x:f>IF(B358&gt;=1000,5,IF(B358&gt;=300,4,IF(B358&gt;=100,3,IF(B358&gt;=30,2,IF(B358&gt;=10,1,0)))))</x:f>
        <x:v>1</x:v>
      </x:c>
      <x:c r="P358" s="7" t="n">
        <x:f>IF(C358&gt;=5,4,IF(C358&gt;=2,3,IF(C358&gt;=1,2,IF(C358&gt;0,1,0))))</x:f>
        <x:v>0</x:v>
      </x:c>
      <x:c r="Q358" s="7" t="n">
        <x:f>N358*2+O358+P358+IF(F358&gt;=0.2,1,0)+IF(K358="Gap",2,0)-IF(I358&lt;=2,5,0)</x:f>
        <x:v>9</x:v>
      </x:c>
      <x:c r="R358" s="7" t="str">
        <x:f>IF(I358&lt;=2,"D",IF(Q358&gt;=15,"A",IF(Q358&gt;=11,"B",IF(Q358&gt;=7,"C","D"))))</x:f>
        <x:v>C</x:v>
      </x:c>
      <x:c r="S358" s="12" t="n">
        <x:f>B358*'Dashboard'!$B$11</x:f>
        <x:v>1</x:v>
      </x:c>
      <x:c r="T358" s="10" t="n">
        <x:f>S358*'Dashboard'!$D$11</x:f>
        <x:v>0.02</x:v>
      </x:c>
      <x:c r="U358" s="7" t="str">
        <x:v>Align title, evidence, internal links and RFQ CTA with this search intent.</x:v>
      </x:c>
    </x:row>
    <x:row r="359" ht="19" customHeight="1">
      <x:c r="A359" s="7" t="str">
        <x:v>hydac hydraulic motor</x:v>
      </x:c>
      <x:c r="B359" s="8" t="n">
        <x:v>10</x:v>
      </x:c>
      <x:c r="C359" s="9" t="n">
        <x:v>0</x:v>
      </x:c>
      <x:c r="D359" s="10" t="n">
        <x:v>1</x:v>
      </x:c>
      <x:c r="E359" s="8" t="n">
        <x:v>10</x:v>
      </x:c>
      <x:c r="F359" s="11" t="n">
        <x:v>0.09090909090909098</x:v>
      </x:c>
      <x:c r="G359" s="7" t="str">
        <x:v>Product research</x:v>
      </x:c>
      <x:c r="H359" s="7" t="str">
        <x:v>Hydraulic Motors</x:v>
      </x:c>
      <x:c r="I359" s="7" t="n">
        <x:v>5</x:v>
      </x:c>
      <x:c r="J359" s="7" t="str">
        <x:v>/products/hydraulic-motors/</x:v>
      </x:c>
      <x:c r="K359" s="7" t="str">
        <x:v>Covered</x:v>
      </x:c>
      <x:c r="L359" s="7" t="str">
        <x:v>Optimize existing page</x:v>
      </x:c>
      <x:c r="M359" s="7" t="str">
        <x:v>Product / category</x:v>
      </x:c>
      <x:c r="N359" s="7" t="n">
        <x:v>4</x:v>
      </x:c>
      <x:c r="O359" s="7" t="n">
        <x:f>IF(B359&gt;=1000,5,IF(B359&gt;=300,4,IF(B359&gt;=100,3,IF(B359&gt;=30,2,IF(B359&gt;=10,1,0)))))</x:f>
        <x:v>1</x:v>
      </x:c>
      <x:c r="P359" s="7" t="n">
        <x:f>IF(C359&gt;=5,4,IF(C359&gt;=2,3,IF(C359&gt;=1,2,IF(C359&gt;0,1,0))))</x:f>
        <x:v>0</x:v>
      </x:c>
      <x:c r="Q359" s="7" t="n">
        <x:f>N359*2+O359+P359+IF(F359&gt;=0.2,1,0)+IF(K359="Gap",2,0)-IF(I359&lt;=2,5,0)</x:f>
        <x:v>9</x:v>
      </x:c>
      <x:c r="R359" s="7" t="str">
        <x:f>IF(I359&lt;=2,"D",IF(Q359&gt;=15,"A",IF(Q359&gt;=11,"B",IF(Q359&gt;=7,"C","D"))))</x:f>
        <x:v>C</x:v>
      </x:c>
      <x:c r="S359" s="12" t="n">
        <x:f>B359*'Dashboard'!$B$11</x:f>
        <x:v>1</x:v>
      </x:c>
      <x:c r="T359" s="10" t="n">
        <x:f>S359*'Dashboard'!$D$11</x:f>
        <x:v>0.02</x:v>
      </x:c>
      <x:c r="U359" s="7" t="str">
        <x:v>Align title, evidence, internal links and RFQ CTA with this search intent.</x:v>
      </x:c>
    </x:row>
    <x:row r="360" ht="19" customHeight="1">
      <x:c r="A360" s="7" t="str">
        <x:v>kawasaki hydraulic valve</x:v>
      </x:c>
      <x:c r="B360" s="8" t="n">
        <x:v>10</x:v>
      </x:c>
      <x:c r="C360" s="9" t="n">
        <x:v>0</x:v>
      </x:c>
      <x:c r="D360" s="10" t="n">
        <x:v>0</x:v>
      </x:c>
      <x:c r="E360" s="8" t="n">
        <x:v>0</x:v>
      </x:c>
      <x:c r="F360" s="11" t="n">
        <x:v>-1</x:v>
      </x:c>
      <x:c r="G360" s="7" t="str">
        <x:v>Product research</x:v>
      </x:c>
      <x:c r="H360" s="7" t="str">
        <x:v>Hydraulic Valves</x:v>
      </x:c>
      <x:c r="I360" s="7" t="n">
        <x:v>5</x:v>
      </x:c>
      <x:c r="J360" s="7" t="str">
        <x:v>/products/hydraulic-valves/</x:v>
      </x:c>
      <x:c r="K360" s="7" t="str">
        <x:v>Covered</x:v>
      </x:c>
      <x:c r="L360" s="7" t="str">
        <x:v>Optimize existing page</x:v>
      </x:c>
      <x:c r="M360" s="7" t="str">
        <x:v>Product / category</x:v>
      </x:c>
      <x:c r="N360" s="7" t="n">
        <x:v>4</x:v>
      </x:c>
      <x:c r="O360" s="7" t="n">
        <x:f>IF(B360&gt;=1000,5,IF(B360&gt;=300,4,IF(B360&gt;=100,3,IF(B360&gt;=30,2,IF(B360&gt;=10,1,0)))))</x:f>
        <x:v>1</x:v>
      </x:c>
      <x:c r="P360" s="7" t="n">
        <x:f>IF(C360&gt;=5,4,IF(C360&gt;=2,3,IF(C360&gt;=1,2,IF(C360&gt;0,1,0))))</x:f>
        <x:v>0</x:v>
      </x:c>
      <x:c r="Q360" s="7" t="n">
        <x:f>N360*2+O360+P360+IF(F360&gt;=0.2,1,0)+IF(K360="Gap",2,0)-IF(I360&lt;=2,5,0)</x:f>
        <x:v>9</x:v>
      </x:c>
      <x:c r="R360" s="7" t="str">
        <x:f>IF(I360&lt;=2,"D",IF(Q360&gt;=15,"A",IF(Q360&gt;=11,"B",IF(Q360&gt;=7,"C","D"))))</x:f>
        <x:v>C</x:v>
      </x:c>
      <x:c r="S360" s="12" t="n">
        <x:f>B360*'Dashboard'!$B$11</x:f>
        <x:v>1</x:v>
      </x:c>
      <x:c r="T360" s="10" t="n">
        <x:f>S360*'Dashboard'!$D$11</x:f>
        <x:v>0.02</x:v>
      </x:c>
      <x:c r="U360" s="7" t="str">
        <x:v>Align title, evidence, internal links and RFQ CTA with this search intent.</x:v>
      </x:c>
    </x:row>
    <x:row r="361" ht="19" customHeight="1">
      <x:c r="A361" s="7" t="str">
        <x:v>moog hydraulic pump</x:v>
      </x:c>
      <x:c r="B361" s="8" t="n">
        <x:v>10</x:v>
      </x:c>
      <x:c r="C361" s="9" t="n">
        <x:v>0</x:v>
      </x:c>
      <x:c r="D361" s="10" t="n">
        <x:v>0.54</x:v>
      </x:c>
      <x:c r="E361" s="8" t="n">
        <x:v>10</x:v>
      </x:c>
      <x:c r="F361" s="11" t="n">
        <x:v>-0.14285714285714282</x:v>
      </x:c>
      <x:c r="G361" s="7" t="str">
        <x:v>Product research</x:v>
      </x:c>
      <x:c r="H361" s="7" t="str">
        <x:v>Hydraulic Pumps</x:v>
      </x:c>
      <x:c r="I361" s="7" t="n">
        <x:v>5</x:v>
      </x:c>
      <x:c r="J361" s="7" t="str">
        <x:v>/products/hydraulic-pumps/</x:v>
      </x:c>
      <x:c r="K361" s="7" t="str">
        <x:v>Covered</x:v>
      </x:c>
      <x:c r="L361" s="7" t="str">
        <x:v>Optimize existing page</x:v>
      </x:c>
      <x:c r="M361" s="7" t="str">
        <x:v>Product / category</x:v>
      </x:c>
      <x:c r="N361" s="7" t="n">
        <x:v>4</x:v>
      </x:c>
      <x:c r="O361" s="7" t="n">
        <x:f>IF(B361&gt;=1000,5,IF(B361&gt;=300,4,IF(B361&gt;=100,3,IF(B361&gt;=30,2,IF(B361&gt;=10,1,0)))))</x:f>
        <x:v>1</x:v>
      </x:c>
      <x:c r="P361" s="7" t="n">
        <x:f>IF(C361&gt;=5,4,IF(C361&gt;=2,3,IF(C361&gt;=1,2,IF(C361&gt;0,1,0))))</x:f>
        <x:v>0</x:v>
      </x:c>
      <x:c r="Q361" s="7" t="n">
        <x:f>N361*2+O361+P361+IF(F361&gt;=0.2,1,0)+IF(K361="Gap",2,0)-IF(I361&lt;=2,5,0)</x:f>
        <x:v>9</x:v>
      </x:c>
      <x:c r="R361" s="7" t="str">
        <x:f>IF(I361&lt;=2,"D",IF(Q361&gt;=15,"A",IF(Q361&gt;=11,"B",IF(Q361&gt;=7,"C","D"))))</x:f>
        <x:v>C</x:v>
      </x:c>
      <x:c r="S361" s="12" t="n">
        <x:f>B361*'Dashboard'!$B$11</x:f>
        <x:v>1</x:v>
      </x:c>
      <x:c r="T361" s="10" t="n">
        <x:f>S361*'Dashboard'!$D$11</x:f>
        <x:v>0.02</x:v>
      </x:c>
      <x:c r="U361" s="7" t="str">
        <x:v>Align title, evidence, internal links and RFQ CTA with this search intent.</x:v>
      </x:c>
    </x:row>
    <x:row r="362" ht="19" customHeight="1">
      <x:c r="A362" s="7" t="str">
        <x:v>moog hydraulic valve</x:v>
      </x:c>
      <x:c r="B362" s="8" t="n">
        <x:v>10</x:v>
      </x:c>
      <x:c r="C362" s="9" t="n">
        <x:v>0</x:v>
      </x:c>
      <x:c r="D362" s="10" t="n">
        <x:v>0.65</x:v>
      </x:c>
      <x:c r="E362" s="8" t="n">
        <x:v>10</x:v>
      </x:c>
      <x:c r="F362" s="11" t="n">
        <x:v>0</x:v>
      </x:c>
      <x:c r="G362" s="7" t="str">
        <x:v>Product research</x:v>
      </x:c>
      <x:c r="H362" s="7" t="str">
        <x:v>Hydraulic Valves</x:v>
      </x:c>
      <x:c r="I362" s="7" t="n">
        <x:v>5</x:v>
      </x:c>
      <x:c r="J362" s="7" t="str">
        <x:v>/products/hydraulic-valves/</x:v>
      </x:c>
      <x:c r="K362" s="7" t="str">
        <x:v>Covered</x:v>
      </x:c>
      <x:c r="L362" s="7" t="str">
        <x:v>Optimize existing page</x:v>
      </x:c>
      <x:c r="M362" s="7" t="str">
        <x:v>Product / category</x:v>
      </x:c>
      <x:c r="N362" s="7" t="n">
        <x:v>4</x:v>
      </x:c>
      <x:c r="O362" s="7" t="n">
        <x:f>IF(B362&gt;=1000,5,IF(B362&gt;=300,4,IF(B362&gt;=100,3,IF(B362&gt;=30,2,IF(B362&gt;=10,1,0)))))</x:f>
        <x:v>1</x:v>
      </x:c>
      <x:c r="P362" s="7" t="n">
        <x:f>IF(C362&gt;=5,4,IF(C362&gt;=2,3,IF(C362&gt;=1,2,IF(C362&gt;0,1,0))))</x:f>
        <x:v>0</x:v>
      </x:c>
      <x:c r="Q362" s="7" t="n">
        <x:f>N362*2+O362+P362+IF(F362&gt;=0.2,1,0)+IF(K362="Gap",2,0)-IF(I362&lt;=2,5,0)</x:f>
        <x:v>9</x:v>
      </x:c>
      <x:c r="R362" s="7" t="str">
        <x:f>IF(I362&lt;=2,"D",IF(Q362&gt;=15,"A",IF(Q362&gt;=11,"B",IF(Q362&gt;=7,"C","D"))))</x:f>
        <x:v>C</x:v>
      </x:c>
      <x:c r="S362" s="12" t="n">
        <x:f>B362*'Dashboard'!$B$11</x:f>
        <x:v>1</x:v>
      </x:c>
      <x:c r="T362" s="10" t="n">
        <x:f>S362*'Dashboard'!$D$11</x:f>
        <x:v>0.02</x:v>
      </x:c>
      <x:c r="U362" s="7" t="str">
        <x:v>Align title, evidence, internal links and RFQ CTA with this search intent.</x:v>
      </x:c>
    </x:row>
    <x:row r="363" ht="19" customHeight="1">
      <x:c r="A363" s="7" t="str">
        <x:v>nachi hydraulic motor</x:v>
      </x:c>
      <x:c r="B363" s="8" t="n">
        <x:v>10</x:v>
      </x:c>
      <x:c r="C363" s="9" t="n">
        <x:v>0</x:v>
      </x:c>
      <x:c r="D363" s="10" t="n">
        <x:v>1</x:v>
      </x:c>
      <x:c r="E363" s="8" t="n">
        <x:v>10</x:v>
      </x:c>
      <x:c r="F363" s="11" t="n">
        <x:v>0</x:v>
      </x:c>
      <x:c r="G363" s="7" t="str">
        <x:v>Product research</x:v>
      </x:c>
      <x:c r="H363" s="7" t="str">
        <x:v>Hydraulic Motors</x:v>
      </x:c>
      <x:c r="I363" s="7" t="n">
        <x:v>5</x:v>
      </x:c>
      <x:c r="J363" s="7" t="str">
        <x:v>/products/hydraulic-motors/</x:v>
      </x:c>
      <x:c r="K363" s="7" t="str">
        <x:v>Covered</x:v>
      </x:c>
      <x:c r="L363" s="7" t="str">
        <x:v>Optimize existing page</x:v>
      </x:c>
      <x:c r="M363" s="7" t="str">
        <x:v>Product / category</x:v>
      </x:c>
      <x:c r="N363" s="7" t="n">
        <x:v>4</x:v>
      </x:c>
      <x:c r="O363" s="7" t="n">
        <x:f>IF(B363&gt;=1000,5,IF(B363&gt;=300,4,IF(B363&gt;=100,3,IF(B363&gt;=30,2,IF(B363&gt;=10,1,0)))))</x:f>
        <x:v>1</x:v>
      </x:c>
      <x:c r="P363" s="7" t="n">
        <x:f>IF(C363&gt;=5,4,IF(C363&gt;=2,3,IF(C363&gt;=1,2,IF(C363&gt;0,1,0))))</x:f>
        <x:v>0</x:v>
      </x:c>
      <x:c r="Q363" s="7" t="n">
        <x:f>N363*2+O363+P363+IF(F363&gt;=0.2,1,0)+IF(K363="Gap",2,0)-IF(I363&lt;=2,5,0)</x:f>
        <x:v>9</x:v>
      </x:c>
      <x:c r="R363" s="7" t="str">
        <x:f>IF(I363&lt;=2,"D",IF(Q363&gt;=15,"A",IF(Q363&gt;=11,"B",IF(Q363&gt;=7,"C","D"))))</x:f>
        <x:v>C</x:v>
      </x:c>
      <x:c r="S363" s="12" t="n">
        <x:f>B363*'Dashboard'!$B$11</x:f>
        <x:v>1</x:v>
      </x:c>
      <x:c r="T363" s="10" t="n">
        <x:f>S363*'Dashboard'!$D$11</x:f>
        <x:v>0.02</x:v>
      </x:c>
      <x:c r="U363" s="7" t="str">
        <x:v>Align title, evidence, internal links and RFQ CTA with this search intent.</x:v>
      </x:c>
    </x:row>
    <x:row r="364" ht="19" customHeight="1">
      <x:c r="A364" s="7" t="str">
        <x:v>poclain hydraulic pump</x:v>
      </x:c>
      <x:c r="B364" s="8" t="n">
        <x:v>10</x:v>
      </x:c>
      <x:c r="C364" s="9" t="n">
        <x:v>0</x:v>
      </x:c>
      <x:c r="D364" s="10" t="n">
        <x:v>0.26</x:v>
      </x:c>
      <x:c r="E364" s="8" t="n">
        <x:v>10</x:v>
      </x:c>
      <x:c r="F364" s="11" t="n">
        <x:v>-0.14285714285714282</x:v>
      </x:c>
      <x:c r="G364" s="7" t="str">
        <x:v>Product research</x:v>
      </x:c>
      <x:c r="H364" s="7" t="str">
        <x:v>Hydraulic Pumps</x:v>
      </x:c>
      <x:c r="I364" s="7" t="n">
        <x:v>5</x:v>
      </x:c>
      <x:c r="J364" s="7" t="str">
        <x:v>/products/hydraulic-pumps/</x:v>
      </x:c>
      <x:c r="K364" s="7" t="str">
        <x:v>Covered</x:v>
      </x:c>
      <x:c r="L364" s="7" t="str">
        <x:v>Optimize existing page</x:v>
      </x:c>
      <x:c r="M364" s="7" t="str">
        <x:v>Product / category</x:v>
      </x:c>
      <x:c r="N364" s="7" t="n">
        <x:v>4</x:v>
      </x:c>
      <x:c r="O364" s="7" t="n">
        <x:f>IF(B364&gt;=1000,5,IF(B364&gt;=300,4,IF(B364&gt;=100,3,IF(B364&gt;=30,2,IF(B364&gt;=10,1,0)))))</x:f>
        <x:v>1</x:v>
      </x:c>
      <x:c r="P364" s="7" t="n">
        <x:f>IF(C364&gt;=5,4,IF(C364&gt;=2,3,IF(C364&gt;=1,2,IF(C364&gt;0,1,0))))</x:f>
        <x:v>0</x:v>
      </x:c>
      <x:c r="Q364" s="7" t="n">
        <x:f>N364*2+O364+P364+IF(F364&gt;=0.2,1,0)+IF(K364="Gap",2,0)-IF(I364&lt;=2,5,0)</x:f>
        <x:v>9</x:v>
      </x:c>
      <x:c r="R364" s="7" t="str">
        <x:f>IF(I364&lt;=2,"D",IF(Q364&gt;=15,"A",IF(Q364&gt;=11,"B",IF(Q364&gt;=7,"C","D"))))</x:f>
        <x:v>C</x:v>
      </x:c>
      <x:c r="S364" s="12" t="n">
        <x:f>B364*'Dashboard'!$B$11</x:f>
        <x:v>1</x:v>
      </x:c>
      <x:c r="T364" s="10" t="n">
        <x:f>S364*'Dashboard'!$D$11</x:f>
        <x:v>0.02</x:v>
      </x:c>
      <x:c r="U364" s="7" t="str">
        <x:v>Align title, evidence, internal links and RFQ CTA with this search intent.</x:v>
      </x:c>
    </x:row>
    <x:row r="365" ht="19" customHeight="1">
      <x:c r="A365" s="7" t="str">
        <x:v>yuken hydraulic motor</x:v>
      </x:c>
      <x:c r="B365" s="8" t="n">
        <x:v>10</x:v>
      </x:c>
      <x:c r="C365" s="9" t="n">
        <x:v>0</x:v>
      </x:c>
      <x:c r="D365" s="10" t="n">
        <x:v>0</x:v>
      </x:c>
      <x:c r="E365" s="8" t="n">
        <x:v>0</x:v>
      </x:c>
      <x:c r="F365" s="11" t="n">
        <x:v>-1</x:v>
      </x:c>
      <x:c r="G365" s="7" t="str">
        <x:v>Product research</x:v>
      </x:c>
      <x:c r="H365" s="7" t="str">
        <x:v>Hydraulic Motors</x:v>
      </x:c>
      <x:c r="I365" s="7" t="n">
        <x:v>5</x:v>
      </x:c>
      <x:c r="J365" s="7" t="str">
        <x:v>/products/hydraulic-motors/</x:v>
      </x:c>
      <x:c r="K365" s="7" t="str">
        <x:v>Covered</x:v>
      </x:c>
      <x:c r="L365" s="7" t="str">
        <x:v>Optimize existing page</x:v>
      </x:c>
      <x:c r="M365" s="7" t="str">
        <x:v>Product / category</x:v>
      </x:c>
      <x:c r="N365" s="7" t="n">
        <x:v>4</x:v>
      </x:c>
      <x:c r="O365" s="7" t="n">
        <x:f>IF(B365&gt;=1000,5,IF(B365&gt;=300,4,IF(B365&gt;=100,3,IF(B365&gt;=30,2,IF(B365&gt;=10,1,0)))))</x:f>
        <x:v>1</x:v>
      </x:c>
      <x:c r="P365" s="7" t="n">
        <x:f>IF(C365&gt;=5,4,IF(C365&gt;=2,3,IF(C365&gt;=1,2,IF(C365&gt;0,1,0))))</x:f>
        <x:v>0</x:v>
      </x:c>
      <x:c r="Q365" s="7" t="n">
        <x:f>N365*2+O365+P365+IF(F365&gt;=0.2,1,0)+IF(K365="Gap",2,0)-IF(I365&lt;=2,5,0)</x:f>
        <x:v>9</x:v>
      </x:c>
      <x:c r="R365" s="7" t="str">
        <x:f>IF(I365&lt;=2,"D",IF(Q365&gt;=15,"A",IF(Q365&gt;=11,"B",IF(Q365&gt;=7,"C","D"))))</x:f>
        <x:v>C</x:v>
      </x:c>
      <x:c r="S365" s="12" t="n">
        <x:f>B365*'Dashboard'!$B$11</x:f>
        <x:v>1</x:v>
      </x:c>
      <x:c r="T365" s="10" t="n">
        <x:f>S365*'Dashboard'!$D$11</x:f>
        <x:v>0.02</x:v>
      </x:c>
      <x:c r="U365" s="7" t="str">
        <x:v>Align title, evidence, internal links and RFQ CTA with this search intent.</x:v>
      </x:c>
    </x:row>
    <x:row r="366" ht="19" customHeight="1">
      <x:c r="A366" s="7" t="str">
        <x:v>atos hydraulic motor</x:v>
      </x:c>
      <x:c r="B366" s="8" t="n">
        <x:v>0</x:v>
      </x:c>
      <x:c r="C366" s="9" t="n">
        <x:v>0</x:v>
      </x:c>
      <x:c r="D366" s="10" t="n">
        <x:v>0</x:v>
      </x:c>
      <x:c r="E366" s="8" t="n">
        <x:v>0</x:v>
      </x:c>
      <x:c r="F366" s="11" t="n">
        <x:v>0</x:v>
      </x:c>
      <x:c r="G366" s="7" t="str">
        <x:v>Product research</x:v>
      </x:c>
      <x:c r="H366" s="7" t="str">
        <x:v>Hydraulic Motors</x:v>
      </x:c>
      <x:c r="I366" s="7" t="n">
        <x:v>5</x:v>
      </x:c>
      <x:c r="J366" s="7" t="str">
        <x:v>/products/hydraulic-motors/</x:v>
      </x:c>
      <x:c r="K366" s="7" t="str">
        <x:v>Covered</x:v>
      </x:c>
      <x:c r="L366" s="7" t="str">
        <x:v>Optimize existing page</x:v>
      </x:c>
      <x:c r="M366" s="7" t="str">
        <x:v>Product / category</x:v>
      </x:c>
      <x:c r="N366" s="7" t="n">
        <x:v>4</x:v>
      </x:c>
      <x:c r="O366" s="7" t="n">
        <x:f>IF(B366&gt;=1000,5,IF(B366&gt;=300,4,IF(B366&gt;=100,3,IF(B366&gt;=30,2,IF(B366&gt;=10,1,0)))))</x:f>
        <x:v>0</x:v>
      </x:c>
      <x:c r="P366" s="7" t="n">
        <x:f>IF(C366&gt;=5,4,IF(C366&gt;=2,3,IF(C366&gt;=1,2,IF(C366&gt;0,1,0))))</x:f>
        <x:v>0</x:v>
      </x:c>
      <x:c r="Q366" s="7" t="n">
        <x:f>N366*2+O366+P366+IF(F366&gt;=0.2,1,0)+IF(K366="Gap",2,0)-IF(I366&lt;=2,5,0)</x:f>
        <x:v>8</x:v>
      </x:c>
      <x:c r="R366" s="7" t="str">
        <x:f>IF(I366&lt;=2,"D",IF(Q366&gt;=15,"A",IF(Q366&gt;=11,"B",IF(Q366&gt;=7,"C","D"))))</x:f>
        <x:v>C</x:v>
      </x:c>
      <x:c r="S366" s="12" t="n">
        <x:f>B366*'Dashboard'!$B$11</x:f>
        <x:v>0</x:v>
      </x:c>
      <x:c r="T366" s="10" t="n">
        <x:f>S366*'Dashboard'!$D$11</x:f>
        <x:v>0</x:v>
      </x:c>
      <x:c r="U366" s="7" t="str">
        <x:v>Align title, evidence, internal links and RFQ CTA with this search intent.</x:v>
      </x:c>
    </x:row>
    <x:row r="367" ht="19" customHeight="1">
      <x:c r="A367" s="7" t="str">
        <x:v>bosch rexroth hydraulic valve</x:v>
      </x:c>
      <x:c r="B367" s="8" t="n">
        <x:v>0</x:v>
      </x:c>
      <x:c r="C367" s="9" t="n">
        <x:v>0</x:v>
      </x:c>
      <x:c r="D367" s="10" t="n">
        <x:v>0</x:v>
      </x:c>
      <x:c r="E367" s="8" t="n">
        <x:v>0</x:v>
      </x:c>
      <x:c r="F367" s="11" t="n">
        <x:v>0</x:v>
      </x:c>
      <x:c r="G367" s="7" t="str">
        <x:v>Product research</x:v>
      </x:c>
      <x:c r="H367" s="7" t="str">
        <x:v>Hydraulic Valves</x:v>
      </x:c>
      <x:c r="I367" s="7" t="n">
        <x:v>5</x:v>
      </x:c>
      <x:c r="J367" s="7" t="str">
        <x:v>/products/hydraulic-valves/</x:v>
      </x:c>
      <x:c r="K367" s="7" t="str">
        <x:v>Covered</x:v>
      </x:c>
      <x:c r="L367" s="7" t="str">
        <x:v>Optimize existing page</x:v>
      </x:c>
      <x:c r="M367" s="7" t="str">
        <x:v>Product / category</x:v>
      </x:c>
      <x:c r="N367" s="7" t="n">
        <x:v>4</x:v>
      </x:c>
      <x:c r="O367" s="7" t="n">
        <x:f>IF(B367&gt;=1000,5,IF(B367&gt;=300,4,IF(B367&gt;=100,3,IF(B367&gt;=30,2,IF(B367&gt;=10,1,0)))))</x:f>
        <x:v>0</x:v>
      </x:c>
      <x:c r="P367" s="7" t="n">
        <x:f>IF(C367&gt;=5,4,IF(C367&gt;=2,3,IF(C367&gt;=1,2,IF(C367&gt;0,1,0))))</x:f>
        <x:v>0</x:v>
      </x:c>
      <x:c r="Q367" s="7" t="n">
        <x:f>N367*2+O367+P367+IF(F367&gt;=0.2,1,0)+IF(K367="Gap",2,0)-IF(I367&lt;=2,5,0)</x:f>
        <x:v>8</x:v>
      </x:c>
      <x:c r="R367" s="7" t="str">
        <x:f>IF(I367&lt;=2,"D",IF(Q367&gt;=15,"A",IF(Q367&gt;=11,"B",IF(Q367&gt;=7,"C","D"))))</x:f>
        <x:v>C</x:v>
      </x:c>
      <x:c r="S367" s="12" t="n">
        <x:f>B367*'Dashboard'!$B$11</x:f>
        <x:v>0</x:v>
      </x:c>
      <x:c r="T367" s="10" t="n">
        <x:f>S367*'Dashboard'!$D$11</x:f>
        <x:v>0</x:v>
      </x:c>
      <x:c r="U367" s="7" t="str">
        <x:v>Align title, evidence, internal links and RFQ CTA with this search intent.</x:v>
      </x:c>
    </x:row>
    <x:row r="368" ht="19" customHeight="1">
      <x:c r="A368" s="7" t="str">
        <x:v>casappa hydraulic valve</x:v>
      </x:c>
      <x:c r="B368" s="8" t="n">
        <x:v>0</x:v>
      </x:c>
      <x:c r="C368" s="9" t="n">
        <x:v>0</x:v>
      </x:c>
      <x:c r="D368" s="10" t="n">
        <x:v>0</x:v>
      </x:c>
      <x:c r="E368" s="8" t="n">
        <x:v>0</x:v>
      </x:c>
      <x:c r="F368" s="11" t="n">
        <x:v>0</x:v>
      </x:c>
      <x:c r="G368" s="7" t="str">
        <x:v>Product research</x:v>
      </x:c>
      <x:c r="H368" s="7" t="str">
        <x:v>Hydraulic Valves</x:v>
      </x:c>
      <x:c r="I368" s="7" t="n">
        <x:v>5</x:v>
      </x:c>
      <x:c r="J368" s="7" t="str">
        <x:v>/products/hydraulic-valves/</x:v>
      </x:c>
      <x:c r="K368" s="7" t="str">
        <x:v>Covered</x:v>
      </x:c>
      <x:c r="L368" s="7" t="str">
        <x:v>Optimize existing page</x:v>
      </x:c>
      <x:c r="M368" s="7" t="str">
        <x:v>Product / category</x:v>
      </x:c>
      <x:c r="N368" s="7" t="n">
        <x:v>4</x:v>
      </x:c>
      <x:c r="O368" s="7" t="n">
        <x:f>IF(B368&gt;=1000,5,IF(B368&gt;=300,4,IF(B368&gt;=100,3,IF(B368&gt;=30,2,IF(B368&gt;=10,1,0)))))</x:f>
        <x:v>0</x:v>
      </x:c>
      <x:c r="P368" s="7" t="n">
        <x:f>IF(C368&gt;=5,4,IF(C368&gt;=2,3,IF(C368&gt;=1,2,IF(C368&gt;0,1,0))))</x:f>
        <x:v>0</x:v>
      </x:c>
      <x:c r="Q368" s="7" t="n">
        <x:f>N368*2+O368+P368+IF(F368&gt;=0.2,1,0)+IF(K368="Gap",2,0)-IF(I368&lt;=2,5,0)</x:f>
        <x:v>8</x:v>
      </x:c>
      <x:c r="R368" s="7" t="str">
        <x:f>IF(I368&lt;=2,"D",IF(Q368&gt;=15,"A",IF(Q368&gt;=11,"B",IF(Q368&gt;=7,"C","D"))))</x:f>
        <x:v>C</x:v>
      </x:c>
      <x:c r="S368" s="12" t="n">
        <x:f>B368*'Dashboard'!$B$11</x:f>
        <x:v>0</x:v>
      </x:c>
      <x:c r="T368" s="10" t="n">
        <x:f>S368*'Dashboard'!$D$11</x:f>
        <x:v>0</x:v>
      </x:c>
      <x:c r="U368" s="7" t="str">
        <x:v>Align title, evidence, internal links and RFQ CTA with this search intent.</x:v>
      </x:c>
    </x:row>
    <x:row r="369" ht="19" customHeight="1">
      <x:c r="A369" s="7" t="str">
        <x:v>danfoss sundstrand hydraulic motor</x:v>
      </x:c>
      <x:c r="B369" s="8" t="n">
        <x:v>0</x:v>
      </x:c>
      <x:c r="C369" s="9" t="n">
        <x:v>0</x:v>
      </x:c>
      <x:c r="D369" s="10" t="n">
        <x:v>0</x:v>
      </x:c>
      <x:c r="E369" s="8" t="n">
        <x:v>0</x:v>
      </x:c>
      <x:c r="F369" s="11" t="n">
        <x:v>0</x:v>
      </x:c>
      <x:c r="G369" s="7" t="str">
        <x:v>Product research</x:v>
      </x:c>
      <x:c r="H369" s="7" t="str">
        <x:v>Hydraulic Motors</x:v>
      </x:c>
      <x:c r="I369" s="7" t="n">
        <x:v>5</x:v>
      </x:c>
      <x:c r="J369" s="7" t="str">
        <x:v>/products/hydraulic-motors/</x:v>
      </x:c>
      <x:c r="K369" s="7" t="str">
        <x:v>Covered</x:v>
      </x:c>
      <x:c r="L369" s="7" t="str">
        <x:v>Optimize existing page</x:v>
      </x:c>
      <x:c r="M369" s="7" t="str">
        <x:v>Product / category</x:v>
      </x:c>
      <x:c r="N369" s="7" t="n">
        <x:v>4</x:v>
      </x:c>
      <x:c r="O369" s="7" t="n">
        <x:f>IF(B369&gt;=1000,5,IF(B369&gt;=300,4,IF(B369&gt;=100,3,IF(B369&gt;=30,2,IF(B369&gt;=10,1,0)))))</x:f>
        <x:v>0</x:v>
      </x:c>
      <x:c r="P369" s="7" t="n">
        <x:f>IF(C369&gt;=5,4,IF(C369&gt;=2,3,IF(C369&gt;=1,2,IF(C369&gt;0,1,0))))</x:f>
        <x:v>0</x:v>
      </x:c>
      <x:c r="Q369" s="7" t="n">
        <x:f>N369*2+O369+P369+IF(F369&gt;=0.2,1,0)+IF(K369="Gap",2,0)-IF(I369&lt;=2,5,0)</x:f>
        <x:v>8</x:v>
      </x:c>
      <x:c r="R369" s="7" t="str">
        <x:f>IF(I369&lt;=2,"D",IF(Q369&gt;=15,"A",IF(Q369&gt;=11,"B",IF(Q369&gt;=7,"C","D"))))</x:f>
        <x:v>C</x:v>
      </x:c>
      <x:c r="S369" s="12" t="n">
        <x:f>B369*'Dashboard'!$B$11</x:f>
        <x:v>0</x:v>
      </x:c>
      <x:c r="T369" s="10" t="n">
        <x:f>S369*'Dashboard'!$D$11</x:f>
        <x:v>0</x:v>
      </x:c>
      <x:c r="U369" s="7" t="str">
        <x:v>Align title, evidence, internal links and RFQ CTA with this search intent.</x:v>
      </x:c>
    </x:row>
    <x:row r="370" ht="19" customHeight="1">
      <x:c r="A370" s="7" t="str">
        <x:v>danfoss sundstrand hydraulic pump</x:v>
      </x:c>
      <x:c r="B370" s="8" t="n">
        <x:v>0</x:v>
      </x:c>
      <x:c r="C370" s="9" t="n">
        <x:v>0</x:v>
      </x:c>
      <x:c r="D370" s="10" t="n">
        <x:v>0</x:v>
      </x:c>
      <x:c r="E370" s="8" t="n">
        <x:v>0</x:v>
      </x:c>
      <x:c r="F370" s="11" t="n">
        <x:v>0</x:v>
      </x:c>
      <x:c r="G370" s="7" t="str">
        <x:v>Product research</x:v>
      </x:c>
      <x:c r="H370" s="7" t="str">
        <x:v>Hydraulic Pumps</x:v>
      </x:c>
      <x:c r="I370" s="7" t="n">
        <x:v>5</x:v>
      </x:c>
      <x:c r="J370" s="7" t="str">
        <x:v>/products/hydraulic-pumps/</x:v>
      </x:c>
      <x:c r="K370" s="7" t="str">
        <x:v>Covered</x:v>
      </x:c>
      <x:c r="L370" s="7" t="str">
        <x:v>Optimize existing page</x:v>
      </x:c>
      <x:c r="M370" s="7" t="str">
        <x:v>Product / category</x:v>
      </x:c>
      <x:c r="N370" s="7" t="n">
        <x:v>4</x:v>
      </x:c>
      <x:c r="O370" s="7" t="n">
        <x:f>IF(B370&gt;=1000,5,IF(B370&gt;=300,4,IF(B370&gt;=100,3,IF(B370&gt;=30,2,IF(B370&gt;=10,1,0)))))</x:f>
        <x:v>0</x:v>
      </x:c>
      <x:c r="P370" s="7" t="n">
        <x:f>IF(C370&gt;=5,4,IF(C370&gt;=2,3,IF(C370&gt;=1,2,IF(C370&gt;0,1,0))))</x:f>
        <x:v>0</x:v>
      </x:c>
      <x:c r="Q370" s="7" t="n">
        <x:f>N370*2+O370+P370+IF(F370&gt;=0.2,1,0)+IF(K370="Gap",2,0)-IF(I370&lt;=2,5,0)</x:f>
        <x:v>8</x:v>
      </x:c>
      <x:c r="R370" s="7" t="str">
        <x:f>IF(I370&lt;=2,"D",IF(Q370&gt;=15,"A",IF(Q370&gt;=11,"B",IF(Q370&gt;=7,"C","D"))))</x:f>
        <x:v>C</x:v>
      </x:c>
      <x:c r="S370" s="12" t="n">
        <x:f>B370*'Dashboard'!$B$11</x:f>
        <x:v>0</x:v>
      </x:c>
      <x:c r="T370" s="10" t="n">
        <x:f>S370*'Dashboard'!$D$11</x:f>
        <x:v>0</x:v>
      </x:c>
      <x:c r="U370" s="7" t="str">
        <x:v>Align title, evidence, internal links and RFQ CTA with this search intent.</x:v>
      </x:c>
    </x:row>
    <x:row r="371" ht="19" customHeight="1">
      <x:c r="A371" s="7" t="str">
        <x:v>danfoss sundstrand hydraulic valve</x:v>
      </x:c>
      <x:c r="B371" s="8" t="n">
        <x:v>0</x:v>
      </x:c>
      <x:c r="C371" s="9" t="n">
        <x:v>0</x:v>
      </x:c>
      <x:c r="D371" s="10" t="n">
        <x:v>0</x:v>
      </x:c>
      <x:c r="E371" s="8" t="n">
        <x:v>0</x:v>
      </x:c>
      <x:c r="F371" s="11" t="n">
        <x:v>0</x:v>
      </x:c>
      <x:c r="G371" s="7" t="str">
        <x:v>Product research</x:v>
      </x:c>
      <x:c r="H371" s="7" t="str">
        <x:v>Hydraulic Valves</x:v>
      </x:c>
      <x:c r="I371" s="7" t="n">
        <x:v>5</x:v>
      </x:c>
      <x:c r="J371" s="7" t="str">
        <x:v>/products/hydraulic-valves/</x:v>
      </x:c>
      <x:c r="K371" s="7" t="str">
        <x:v>Covered</x:v>
      </x:c>
      <x:c r="L371" s="7" t="str">
        <x:v>Optimize existing page</x:v>
      </x:c>
      <x:c r="M371" s="7" t="str">
        <x:v>Product / category</x:v>
      </x:c>
      <x:c r="N371" s="7" t="n">
        <x:v>4</x:v>
      </x:c>
      <x:c r="O371" s="7" t="n">
        <x:f>IF(B371&gt;=1000,5,IF(B371&gt;=300,4,IF(B371&gt;=100,3,IF(B371&gt;=30,2,IF(B371&gt;=10,1,0)))))</x:f>
        <x:v>0</x:v>
      </x:c>
      <x:c r="P371" s="7" t="n">
        <x:f>IF(C371&gt;=5,4,IF(C371&gt;=2,3,IF(C371&gt;=1,2,IF(C371&gt;0,1,0))))</x:f>
        <x:v>0</x:v>
      </x:c>
      <x:c r="Q371" s="7" t="n">
        <x:f>N371*2+O371+P371+IF(F371&gt;=0.2,1,0)+IF(K371="Gap",2,0)-IF(I371&lt;=2,5,0)</x:f>
        <x:v>8</x:v>
      </x:c>
      <x:c r="R371" s="7" t="str">
        <x:f>IF(I371&lt;=2,"D",IF(Q371&gt;=15,"A",IF(Q371&gt;=11,"B",IF(Q371&gt;=7,"C","D"))))</x:f>
        <x:v>C</x:v>
      </x:c>
      <x:c r="S371" s="12" t="n">
        <x:f>B371*'Dashboard'!$B$11</x:f>
        <x:v>0</x:v>
      </x:c>
      <x:c r="T371" s="10" t="n">
        <x:f>S371*'Dashboard'!$D$11</x:f>
        <x:v>0</x:v>
      </x:c>
      <x:c r="U371" s="7" t="str">
        <x:v>Align title, evidence, internal links and RFQ CTA with this search intent.</x:v>
      </x:c>
    </x:row>
    <x:row r="372" ht="19" customHeight="1">
      <x:c r="A372" s="7" t="str">
        <x:v>eaton vickers hydraulic motor</x:v>
      </x:c>
      <x:c r="B372" s="8" t="n">
        <x:v>0</x:v>
      </x:c>
      <x:c r="C372" s="9" t="n">
        <x:v>0</x:v>
      </x:c>
      <x:c r="D372" s="10" t="n">
        <x:v>0</x:v>
      </x:c>
      <x:c r="E372" s="8" t="n">
        <x:v>0</x:v>
      </x:c>
      <x:c r="F372" s="11" t="n">
        <x:v>0</x:v>
      </x:c>
      <x:c r="G372" s="7" t="str">
        <x:v>Product research</x:v>
      </x:c>
      <x:c r="H372" s="7" t="str">
        <x:v>Hydraulic Motors</x:v>
      </x:c>
      <x:c r="I372" s="7" t="n">
        <x:v>5</x:v>
      </x:c>
      <x:c r="J372" s="7" t="str">
        <x:v>/products/hydraulic-motors/</x:v>
      </x:c>
      <x:c r="K372" s="7" t="str">
        <x:v>Covered</x:v>
      </x:c>
      <x:c r="L372" s="7" t="str">
        <x:v>Optimize existing page</x:v>
      </x:c>
      <x:c r="M372" s="7" t="str">
        <x:v>Product / category</x:v>
      </x:c>
      <x:c r="N372" s="7" t="n">
        <x:v>4</x:v>
      </x:c>
      <x:c r="O372" s="7" t="n">
        <x:f>IF(B372&gt;=1000,5,IF(B372&gt;=300,4,IF(B372&gt;=100,3,IF(B372&gt;=30,2,IF(B372&gt;=10,1,0)))))</x:f>
        <x:v>0</x:v>
      </x:c>
      <x:c r="P372" s="7" t="n">
        <x:f>IF(C372&gt;=5,4,IF(C372&gt;=2,3,IF(C372&gt;=1,2,IF(C372&gt;0,1,0))))</x:f>
        <x:v>0</x:v>
      </x:c>
      <x:c r="Q372" s="7" t="n">
        <x:f>N372*2+O372+P372+IF(F372&gt;=0.2,1,0)+IF(K372="Gap",2,0)-IF(I372&lt;=2,5,0)</x:f>
        <x:v>8</x:v>
      </x:c>
      <x:c r="R372" s="7" t="str">
        <x:f>IF(I372&lt;=2,"D",IF(Q372&gt;=15,"A",IF(Q372&gt;=11,"B",IF(Q372&gt;=7,"C","D"))))</x:f>
        <x:v>C</x:v>
      </x:c>
      <x:c r="S372" s="12" t="n">
        <x:f>B372*'Dashboard'!$B$11</x:f>
        <x:v>0</x:v>
      </x:c>
      <x:c r="T372" s="10" t="n">
        <x:f>S372*'Dashboard'!$D$11</x:f>
        <x:v>0</x:v>
      </x:c>
      <x:c r="U372" s="7" t="str">
        <x:v>Align title, evidence, internal links and RFQ CTA with this search intent.</x:v>
      </x:c>
    </x:row>
    <x:row r="373" ht="19" customHeight="1">
      <x:c r="A373" s="7" t="str">
        <x:v>eaton vickers hydraulic valve</x:v>
      </x:c>
      <x:c r="B373" s="8" t="n">
        <x:v>0</x:v>
      </x:c>
      <x:c r="C373" s="9" t="n">
        <x:v>0</x:v>
      </x:c>
      <x:c r="D373" s="10" t="n">
        <x:v>0</x:v>
      </x:c>
      <x:c r="E373" s="8" t="n">
        <x:v>0</x:v>
      </x:c>
      <x:c r="F373" s="11" t="n">
        <x:v>0</x:v>
      </x:c>
      <x:c r="G373" s="7" t="str">
        <x:v>Product research</x:v>
      </x:c>
      <x:c r="H373" s="7" t="str">
        <x:v>Hydraulic Valves</x:v>
      </x:c>
      <x:c r="I373" s="7" t="n">
        <x:v>5</x:v>
      </x:c>
      <x:c r="J373" s="7" t="str">
        <x:v>/products/hydraulic-valves/</x:v>
      </x:c>
      <x:c r="K373" s="7" t="str">
        <x:v>Covered</x:v>
      </x:c>
      <x:c r="L373" s="7" t="str">
        <x:v>Optimize existing page</x:v>
      </x:c>
      <x:c r="M373" s="7" t="str">
        <x:v>Product / category</x:v>
      </x:c>
      <x:c r="N373" s="7" t="n">
        <x:v>4</x:v>
      </x:c>
      <x:c r="O373" s="7" t="n">
        <x:f>IF(B373&gt;=1000,5,IF(B373&gt;=300,4,IF(B373&gt;=100,3,IF(B373&gt;=30,2,IF(B373&gt;=10,1,0)))))</x:f>
        <x:v>0</x:v>
      </x:c>
      <x:c r="P373" s="7" t="n">
        <x:f>IF(C373&gt;=5,4,IF(C373&gt;=2,3,IF(C373&gt;=1,2,IF(C373&gt;0,1,0))))</x:f>
        <x:v>0</x:v>
      </x:c>
      <x:c r="Q373" s="7" t="n">
        <x:f>N373*2+O373+P373+IF(F373&gt;=0.2,1,0)+IF(K373="Gap",2,0)-IF(I373&lt;=2,5,0)</x:f>
        <x:v>8</x:v>
      </x:c>
      <x:c r="R373" s="7" t="str">
        <x:f>IF(I373&lt;=2,"D",IF(Q373&gt;=15,"A",IF(Q373&gt;=11,"B",IF(Q373&gt;=7,"C","D"))))</x:f>
        <x:v>C</x:v>
      </x:c>
      <x:c r="S373" s="12" t="n">
        <x:f>B373*'Dashboard'!$B$11</x:f>
        <x:v>0</x:v>
      </x:c>
      <x:c r="T373" s="10" t="n">
        <x:f>S373*'Dashboard'!$D$11</x:f>
        <x:v>0</x:v>
      </x:c>
      <x:c r="U373" s="7" t="str">
        <x:v>Align title, evidence, internal links and RFQ CTA with this search intent.</x:v>
      </x:c>
    </x:row>
    <x:row r="374" ht="19" customHeight="1">
      <x:c r="A374" s="7" t="str">
        <x:v>hawe hydraulic motor</x:v>
      </x:c>
      <x:c r="B374" s="8" t="n">
        <x:v>0</x:v>
      </x:c>
      <x:c r="C374" s="9" t="n">
        <x:v>0</x:v>
      </x:c>
      <x:c r="D374" s="10" t="n">
        <x:v>0</x:v>
      </x:c>
      <x:c r="E374" s="8" t="n">
        <x:v>0</x:v>
      </x:c>
      <x:c r="F374" s="11" t="n">
        <x:v>0</x:v>
      </x:c>
      <x:c r="G374" s="7" t="str">
        <x:v>Product research</x:v>
      </x:c>
      <x:c r="H374" s="7" t="str">
        <x:v>Hydraulic Motors</x:v>
      </x:c>
      <x:c r="I374" s="7" t="n">
        <x:v>5</x:v>
      </x:c>
      <x:c r="J374" s="7" t="str">
        <x:v>/products/hydraulic-motors/</x:v>
      </x:c>
      <x:c r="K374" s="7" t="str">
        <x:v>Covered</x:v>
      </x:c>
      <x:c r="L374" s="7" t="str">
        <x:v>Optimize existing page</x:v>
      </x:c>
      <x:c r="M374" s="7" t="str">
        <x:v>Product / category</x:v>
      </x:c>
      <x:c r="N374" s="7" t="n">
        <x:v>4</x:v>
      </x:c>
      <x:c r="O374" s="7" t="n">
        <x:f>IF(B374&gt;=1000,5,IF(B374&gt;=300,4,IF(B374&gt;=100,3,IF(B374&gt;=30,2,IF(B374&gt;=10,1,0)))))</x:f>
        <x:v>0</x:v>
      </x:c>
      <x:c r="P374" s="7" t="n">
        <x:f>IF(C374&gt;=5,4,IF(C374&gt;=2,3,IF(C374&gt;=1,2,IF(C374&gt;0,1,0))))</x:f>
        <x:v>0</x:v>
      </x:c>
      <x:c r="Q374" s="7" t="n">
        <x:f>N374*2+O374+P374+IF(F374&gt;=0.2,1,0)+IF(K374="Gap",2,0)-IF(I374&lt;=2,5,0)</x:f>
        <x:v>8</x:v>
      </x:c>
      <x:c r="R374" s="7" t="str">
        <x:f>IF(I374&lt;=2,"D",IF(Q374&gt;=15,"A",IF(Q374&gt;=11,"B",IF(Q374&gt;=7,"C","D"))))</x:f>
        <x:v>C</x:v>
      </x:c>
      <x:c r="S374" s="12" t="n">
        <x:f>B374*'Dashboard'!$B$11</x:f>
        <x:v>0</x:v>
      </x:c>
      <x:c r="T374" s="10" t="n">
        <x:f>S374*'Dashboard'!$D$11</x:f>
        <x:v>0</x:v>
      </x:c>
      <x:c r="U374" s="7" t="str">
        <x:v>Align title, evidence, internal links and RFQ CTA with this search intent.</x:v>
      </x:c>
    </x:row>
    <x:row r="375" ht="19" customHeight="1">
      <x:c r="A375" s="7" t="str">
        <x:v>hydac hydraulic valve</x:v>
      </x:c>
      <x:c r="B375" s="8" t="n">
        <x:v>0</x:v>
      </x:c>
      <x:c r="C375" s="9" t="n">
        <x:v>0</x:v>
      </x:c>
      <x:c r="D375" s="10" t="n">
        <x:v>0</x:v>
      </x:c>
      <x:c r="E375" s="8" t="n">
        <x:v>0</x:v>
      </x:c>
      <x:c r="F375" s="11" t="n">
        <x:v>0</x:v>
      </x:c>
      <x:c r="G375" s="7" t="str">
        <x:v>Product research</x:v>
      </x:c>
      <x:c r="H375" s="7" t="str">
        <x:v>Hydraulic Valves</x:v>
      </x:c>
      <x:c r="I375" s="7" t="n">
        <x:v>5</x:v>
      </x:c>
      <x:c r="J375" s="7" t="str">
        <x:v>/products/hydraulic-valves/</x:v>
      </x:c>
      <x:c r="K375" s="7" t="str">
        <x:v>Covered</x:v>
      </x:c>
      <x:c r="L375" s="7" t="str">
        <x:v>Optimize existing page</x:v>
      </x:c>
      <x:c r="M375" s="7" t="str">
        <x:v>Product / category</x:v>
      </x:c>
      <x:c r="N375" s="7" t="n">
        <x:v>4</x:v>
      </x:c>
      <x:c r="O375" s="7" t="n">
        <x:f>IF(B375&gt;=1000,5,IF(B375&gt;=300,4,IF(B375&gt;=100,3,IF(B375&gt;=30,2,IF(B375&gt;=10,1,0)))))</x:f>
        <x:v>0</x:v>
      </x:c>
      <x:c r="P375" s="7" t="n">
        <x:f>IF(C375&gt;=5,4,IF(C375&gt;=2,3,IF(C375&gt;=1,2,IF(C375&gt;0,1,0))))</x:f>
        <x:v>0</x:v>
      </x:c>
      <x:c r="Q375" s="7" t="n">
        <x:f>N375*2+O375+P375+IF(F375&gt;=0.2,1,0)+IF(K375="Gap",2,0)-IF(I375&lt;=2,5,0)</x:f>
        <x:v>8</x:v>
      </x:c>
      <x:c r="R375" s="7" t="str">
        <x:f>IF(I375&lt;=2,"D",IF(Q375&gt;=15,"A",IF(Q375&gt;=11,"B",IF(Q375&gt;=7,"C","D"))))</x:f>
        <x:v>C</x:v>
      </x:c>
      <x:c r="S375" s="12" t="n">
        <x:f>B375*'Dashboard'!$B$11</x:f>
        <x:v>0</x:v>
      </x:c>
      <x:c r="T375" s="10" t="n">
        <x:f>S375*'Dashboard'!$D$11</x:f>
        <x:v>0</x:v>
      </x:c>
      <x:c r="U375" s="7" t="str">
        <x:v>Align title, evidence, internal links and RFQ CTA with this search intent.</x:v>
      </x:c>
    </x:row>
    <x:row r="376" ht="19" customHeight="1">
      <x:c r="A376" s="7" t="str">
        <x:v>linde hydraulic valve</x:v>
      </x:c>
      <x:c r="B376" s="8" t="n">
        <x:v>0</x:v>
      </x:c>
      <x:c r="C376" s="9" t="n">
        <x:v>0</x:v>
      </x:c>
      <x:c r="D376" s="10" t="n">
        <x:v>0</x:v>
      </x:c>
      <x:c r="E376" s="8" t="n">
        <x:v>0</x:v>
      </x:c>
      <x:c r="F376" s="11" t="n">
        <x:v>0</x:v>
      </x:c>
      <x:c r="G376" s="7" t="str">
        <x:v>Product research</x:v>
      </x:c>
      <x:c r="H376" s="7" t="str">
        <x:v>Hydraulic Valves</x:v>
      </x:c>
      <x:c r="I376" s="7" t="n">
        <x:v>5</x:v>
      </x:c>
      <x:c r="J376" s="7" t="str">
        <x:v>/products/hydraulic-valves/</x:v>
      </x:c>
      <x:c r="K376" s="7" t="str">
        <x:v>Covered</x:v>
      </x:c>
      <x:c r="L376" s="7" t="str">
        <x:v>Optimize existing page</x:v>
      </x:c>
      <x:c r="M376" s="7" t="str">
        <x:v>Product / category</x:v>
      </x:c>
      <x:c r="N376" s="7" t="n">
        <x:v>4</x:v>
      </x:c>
      <x:c r="O376" s="7" t="n">
        <x:f>IF(B376&gt;=1000,5,IF(B376&gt;=300,4,IF(B376&gt;=100,3,IF(B376&gt;=30,2,IF(B376&gt;=10,1,0)))))</x:f>
        <x:v>0</x:v>
      </x:c>
      <x:c r="P376" s="7" t="n">
        <x:f>IF(C376&gt;=5,4,IF(C376&gt;=2,3,IF(C376&gt;=1,2,IF(C376&gt;0,1,0))))</x:f>
        <x:v>0</x:v>
      </x:c>
      <x:c r="Q376" s="7" t="n">
        <x:f>N376*2+O376+P376+IF(F376&gt;=0.2,1,0)+IF(K376="Gap",2,0)-IF(I376&lt;=2,5,0)</x:f>
        <x:v>8</x:v>
      </x:c>
      <x:c r="R376" s="7" t="str">
        <x:f>IF(I376&lt;=2,"D",IF(Q376&gt;=15,"A",IF(Q376&gt;=11,"B",IF(Q376&gt;=7,"C","D"))))</x:f>
        <x:v>C</x:v>
      </x:c>
      <x:c r="S376" s="12" t="n">
        <x:f>B376*'Dashboard'!$B$11</x:f>
        <x:v>0</x:v>
      </x:c>
      <x:c r="T376" s="10" t="n">
        <x:f>S376*'Dashboard'!$D$11</x:f>
        <x:v>0</x:v>
      </x:c>
      <x:c r="U376" s="7" t="str">
        <x:v>Align title, evidence, internal links and RFQ CTA with this search intent.</x:v>
      </x:c>
    </x:row>
    <x:row r="377" ht="19" customHeight="1">
      <x:c r="A377" s="7" t="str">
        <x:v>modular hydraulic valve</x:v>
      </x:c>
      <x:c r="B377" s="8" t="n">
        <x:v>0</x:v>
      </x:c>
      <x:c r="C377" s="9" t="n">
        <x:v>0</x:v>
      </x:c>
      <x:c r="D377" s="10" t="n">
        <x:v>0</x:v>
      </x:c>
      <x:c r="E377" s="8" t="n">
        <x:v>0</x:v>
      </x:c>
      <x:c r="F377" s="11" t="n">
        <x:v>0</x:v>
      </x:c>
      <x:c r="G377" s="7" t="str">
        <x:v>Product research</x:v>
      </x:c>
      <x:c r="H377" s="7" t="str">
        <x:v>Hydraulic Valves</x:v>
      </x:c>
      <x:c r="I377" s="7" t="n">
        <x:v>5</x:v>
      </x:c>
      <x:c r="J377" s="7" t="str">
        <x:v>/products/hydraulic-valves/modular-valves/</x:v>
      </x:c>
      <x:c r="K377" s="7" t="str">
        <x:v>Covered</x:v>
      </x:c>
      <x:c r="L377" s="7" t="str">
        <x:v>Optimize existing page</x:v>
      </x:c>
      <x:c r="M377" s="7" t="str">
        <x:v>Product / category</x:v>
      </x:c>
      <x:c r="N377" s="7" t="n">
        <x:v>4</x:v>
      </x:c>
      <x:c r="O377" s="7" t="n">
        <x:f>IF(B377&gt;=1000,5,IF(B377&gt;=300,4,IF(B377&gt;=100,3,IF(B377&gt;=30,2,IF(B377&gt;=10,1,0)))))</x:f>
        <x:v>0</x:v>
      </x:c>
      <x:c r="P377" s="7" t="n">
        <x:f>IF(C377&gt;=5,4,IF(C377&gt;=2,3,IF(C377&gt;=1,2,IF(C377&gt;0,1,0))))</x:f>
        <x:v>0</x:v>
      </x:c>
      <x:c r="Q377" s="7" t="n">
        <x:f>N377*2+O377+P377+IF(F377&gt;=0.2,1,0)+IF(K377="Gap",2,0)-IF(I377&lt;=2,5,0)</x:f>
        <x:v>8</x:v>
      </x:c>
      <x:c r="R377" s="7" t="str">
        <x:f>IF(I377&lt;=2,"D",IF(Q377&gt;=15,"A",IF(Q377&gt;=11,"B",IF(Q377&gt;=7,"C","D"))))</x:f>
        <x:v>C</x:v>
      </x:c>
      <x:c r="S377" s="12" t="n">
        <x:f>B377*'Dashboard'!$B$11</x:f>
        <x:v>0</x:v>
      </x:c>
      <x:c r="T377" s="10" t="n">
        <x:f>S377*'Dashboard'!$D$11</x:f>
        <x:v>0</x:v>
      </x:c>
      <x:c r="U377" s="7" t="str">
        <x:v>Align title, evidence, internal links and RFQ CTA with this search intent.</x:v>
      </x:c>
    </x:row>
    <x:row r="378" ht="19" customHeight="1">
      <x:c r="A378" s="7" t="str">
        <x:v>moog hydraulic motor</x:v>
      </x:c>
      <x:c r="B378" s="8" t="n">
        <x:v>0</x:v>
      </x:c>
      <x:c r="C378" s="9" t="n">
        <x:v>0</x:v>
      </x:c>
      <x:c r="D378" s="10" t="n">
        <x:v>0</x:v>
      </x:c>
      <x:c r="E378" s="8" t="n">
        <x:v>0</x:v>
      </x:c>
      <x:c r="F378" s="11" t="n">
        <x:v>0</x:v>
      </x:c>
      <x:c r="G378" s="7" t="str">
        <x:v>Product research</x:v>
      </x:c>
      <x:c r="H378" s="7" t="str">
        <x:v>Hydraulic Motors</x:v>
      </x:c>
      <x:c r="I378" s="7" t="n">
        <x:v>5</x:v>
      </x:c>
      <x:c r="J378" s="7" t="str">
        <x:v>/products/hydraulic-motors/</x:v>
      </x:c>
      <x:c r="K378" s="7" t="str">
        <x:v>Covered</x:v>
      </x:c>
      <x:c r="L378" s="7" t="str">
        <x:v>Optimize existing page</x:v>
      </x:c>
      <x:c r="M378" s="7" t="str">
        <x:v>Product / category</x:v>
      </x:c>
      <x:c r="N378" s="7" t="n">
        <x:v>4</x:v>
      </x:c>
      <x:c r="O378" s="7" t="n">
        <x:f>IF(B378&gt;=1000,5,IF(B378&gt;=300,4,IF(B378&gt;=100,3,IF(B378&gt;=30,2,IF(B378&gt;=10,1,0)))))</x:f>
        <x:v>0</x:v>
      </x:c>
      <x:c r="P378" s="7" t="n">
        <x:f>IF(C378&gt;=5,4,IF(C378&gt;=2,3,IF(C378&gt;=1,2,IF(C378&gt;0,1,0))))</x:f>
        <x:v>0</x:v>
      </x:c>
      <x:c r="Q378" s="7" t="n">
        <x:f>N378*2+O378+P378+IF(F378&gt;=0.2,1,0)+IF(K378="Gap",2,0)-IF(I378&lt;=2,5,0)</x:f>
        <x:v>8</x:v>
      </x:c>
      <x:c r="R378" s="7" t="str">
        <x:f>IF(I378&lt;=2,"D",IF(Q378&gt;=15,"A",IF(Q378&gt;=11,"B",IF(Q378&gt;=7,"C","D"))))</x:f>
        <x:v>C</x:v>
      </x:c>
      <x:c r="S378" s="12" t="n">
        <x:f>B378*'Dashboard'!$B$11</x:f>
        <x:v>0</x:v>
      </x:c>
      <x:c r="T378" s="10" t="n">
        <x:f>S378*'Dashboard'!$D$11</x:f>
        <x:v>0</x:v>
      </x:c>
      <x:c r="U378" s="7" t="str">
        <x:v>Align title, evidence, internal links and RFQ CTA with this search intent.</x:v>
      </x:c>
    </x:row>
    <x:row r="379" ht="19" customHeight="1">
      <x:c r="A379" s="7" t="str">
        <x:v>poclain hydraulic valve</x:v>
      </x:c>
      <x:c r="B379" s="8" t="n">
        <x:v>0</x:v>
      </x:c>
      <x:c r="C379" s="9" t="n">
        <x:v>0</x:v>
      </x:c>
      <x:c r="D379" s="10" t="n">
        <x:v>0</x:v>
      </x:c>
      <x:c r="E379" s="8" t="n">
        <x:v>0</x:v>
      </x:c>
      <x:c r="F379" s="11" t="n">
        <x:v>0</x:v>
      </x:c>
      <x:c r="G379" s="7" t="str">
        <x:v>Product research</x:v>
      </x:c>
      <x:c r="H379" s="7" t="str">
        <x:v>Hydraulic Valves</x:v>
      </x:c>
      <x:c r="I379" s="7" t="n">
        <x:v>5</x:v>
      </x:c>
      <x:c r="J379" s="7" t="str">
        <x:v>/products/hydraulic-valves/</x:v>
      </x:c>
      <x:c r="K379" s="7" t="str">
        <x:v>Covered</x:v>
      </x:c>
      <x:c r="L379" s="7" t="str">
        <x:v>Optimize existing page</x:v>
      </x:c>
      <x:c r="M379" s="7" t="str">
        <x:v>Product / category</x:v>
      </x:c>
      <x:c r="N379" s="7" t="n">
        <x:v>4</x:v>
      </x:c>
      <x:c r="O379" s="7" t="n">
        <x:f>IF(B379&gt;=1000,5,IF(B379&gt;=300,4,IF(B379&gt;=100,3,IF(B379&gt;=30,2,IF(B379&gt;=10,1,0)))))</x:f>
        <x:v>0</x:v>
      </x:c>
      <x:c r="P379" s="7" t="n">
        <x:f>IF(C379&gt;=5,4,IF(C379&gt;=2,3,IF(C379&gt;=1,2,IF(C379&gt;0,1,0))))</x:f>
        <x:v>0</x:v>
      </x:c>
      <x:c r="Q379" s="7" t="n">
        <x:f>N379*2+O379+P379+IF(F379&gt;=0.2,1,0)+IF(K379="Gap",2,0)-IF(I379&lt;=2,5,0)</x:f>
        <x:v>8</x:v>
      </x:c>
      <x:c r="R379" s="7" t="str">
        <x:f>IF(I379&lt;=2,"D",IF(Q379&gt;=15,"A",IF(Q379&gt;=11,"B",IF(Q379&gt;=7,"C","D"))))</x:f>
        <x:v>C</x:v>
      </x:c>
      <x:c r="S379" s="12" t="n">
        <x:f>B379*'Dashboard'!$B$11</x:f>
        <x:v>0</x:v>
      </x:c>
      <x:c r="T379" s="10" t="n">
        <x:f>S379*'Dashboard'!$D$11</x:f>
        <x:v>0</x:v>
      </x:c>
      <x:c r="U379" s="7" t="str">
        <x:v>Align title, evidence, internal links and RFQ CTA with this search intent.</x:v>
      </x:c>
    </x:row>
    <x:row r="380" ht="19" customHeight="1">
      <x:c r="A380" s="7" t="str">
        <x:v>caterpillar parts</x:v>
      </x:c>
      <x:c r="B380" s="8" t="n">
        <x:v>18100</x:v>
      </x:c>
      <x:c r="C380" s="9" t="n">
        <x:v>2.97</x:v>
      </x:c>
      <x:c r="D380" s="10" t="n">
        <x:v>0.4</x:v>
      </x:c>
      <x:c r="E380" s="8" t="n">
        <x:v>18100</x:v>
      </x:c>
      <x:c r="F380" s="11" t="n">
        <x:v>-0.05688232739904479</x:v>
      </x:c>
      <x:c r="G380" s="7" t="str">
        <x:v>Commercial</x:v>
      </x:c>
      <x:c r="H380" s="7" t="str">
        <x:v>Brand Coverage</x:v>
      </x:c>
      <x:c r="I380" s="7" t="n">
        <x:v>2</x:v>
      </x:c>
      <x:c r="J380" s="7" t="str"/>
      <x:c r="K380" s="7" t="str">
        <x:v>Gap</x:v>
      </x:c>
      <x:c r="L380" s="7" t="str">
        <x:v>Exclude / qualify</x:v>
      </x:c>
      <x:c r="M380" s="7" t="str">
        <x:v>Product / category</x:v>
      </x:c>
      <x:c r="N380" s="7" t="n">
        <x:v>1</x:v>
      </x:c>
      <x:c r="O380" s="7" t="n">
        <x:f>IF(B380&gt;=1000,5,IF(B380&gt;=300,4,IF(B380&gt;=100,3,IF(B380&gt;=30,2,IF(B380&gt;=10,1,0)))))</x:f>
        <x:v>5</x:v>
      </x:c>
      <x:c r="P380" s="7" t="n">
        <x:f>IF(C380&gt;=5,4,IF(C380&gt;=2,3,IF(C380&gt;=1,2,IF(C380&gt;0,1,0))))</x:f>
        <x:v>3</x:v>
      </x:c>
      <x:c r="Q380" s="7" t="n">
        <x:f>N380*2+O380+P380+IF(F380&gt;=0.2,1,0)+IF(K380="Gap",2,0)-IF(I380&lt;=2,5,0)</x:f>
        <x:v>7</x:v>
      </x:c>
      <x:c r="R380" s="7" t="str">
        <x:f>IF(I380&lt;=2,"D",IF(Q380&gt;=15,"A",IF(Q380&gt;=11,"B",IF(Q380&gt;=7,"C","D"))))</x:f>
        <x:v>D</x:v>
      </x:c>
      <x:c r="S380" s="12" t="n">
        <x:f>B380*'Dashboard'!$B$11</x:f>
        <x:v>1810</x:v>
      </x:c>
      <x:c r="T380" s="10" t="n">
        <x:f>S380*'Dashboard'!$D$11</x:f>
        <x:v>36.2</x:v>
      </x:c>
      <x:c r="U380" s="7" t="str">
        <x:v>Broad brand term; narrow to a hydraulic product, series or exact part.</x:v>
      </x:c>
    </x:row>
    <x:row r="381" ht="19" customHeight="1">
      <x:c r="A381" s="7" t="str">
        <x:v>tmb</x:v>
      </x:c>
      <x:c r="B381" s="8" t="n">
        <x:v>18100</x:v>
      </x:c>
      <x:c r="C381" s="9" t="n">
        <x:v>3.67</x:v>
      </x:c>
      <x:c r="D381" s="10" t="n">
        <x:v>0</x:v>
      </x:c>
      <x:c r="E381" s="8" t="n">
        <x:v>22200</x:v>
      </x:c>
      <x:c r="F381" s="11" t="n">
        <x:v>0.18189884649511986</x:v>
      </x:c>
      <x:c r="G381" s="7" t="str">
        <x:v>Product research</x:v>
      </x:c>
      <x:c r="H381" s="7" t="str">
        <x:v>Hydraulic Motors</x:v>
      </x:c>
      <x:c r="I381" s="7" t="n">
        <x:v>1</x:v>
      </x:c>
      <x:c r="J381" s="7" t="str">
        <x:v>/series/tmb/</x:v>
      </x:c>
      <x:c r="K381" s="7" t="str">
        <x:v>Covered</x:v>
      </x:c>
      <x:c r="L381" s="7" t="str">
        <x:v>Exclude / qualify</x:v>
      </x:c>
      <x:c r="M381" s="7" t="str">
        <x:v>Series hub</x:v>
      </x:c>
      <x:c r="N381" s="7" t="n">
        <x:v>1</x:v>
      </x:c>
      <x:c r="O381" s="7" t="n">
        <x:f>IF(B381&gt;=1000,5,IF(B381&gt;=300,4,IF(B381&gt;=100,3,IF(B381&gt;=30,2,IF(B381&gt;=10,1,0)))))</x:f>
        <x:v>5</x:v>
      </x:c>
      <x:c r="P381" s="7" t="n">
        <x:f>IF(C381&gt;=5,4,IF(C381&gt;=2,3,IF(C381&gt;=1,2,IF(C381&gt;0,1,0))))</x:f>
        <x:v>3</x:v>
      </x:c>
      <x:c r="Q381" s="7" t="n">
        <x:f>N381*2+O381+P381+IF(F381&gt;=0.2,1,0)+IF(K381="Gap",2,0)-IF(I381&lt;=2,5,0)</x:f>
        <x:v>5</x:v>
      </x:c>
      <x:c r="R381" s="7" t="str">
        <x:f>IF(I381&lt;=2,"D",IF(Q381&gt;=15,"A",IF(Q381&gt;=11,"B",IF(Q381&gt;=7,"C","D"))))</x:f>
        <x:v>D</x:v>
      </x:c>
      <x:c r="S381" s="12" t="n">
        <x:f>B381*'Dashboard'!$B$11</x:f>
        <x:v>1810</x:v>
      </x:c>
      <x:c r="T381" s="10" t="n">
        <x:f>S381*'Dashboard'!$D$11</x:f>
        <x:v>36.2</x:v>
      </x:c>
      <x:c r="U381" s="7" t="str">
        <x:v>Ambiguous acronym; only target with hydraulic, brand or product qualifier.</x:v>
      </x:c>
    </x:row>
    <x:row r="382" ht="19" customHeight="1">
      <x:c r="A382" s="7" t="str">
        <x:v>how to identify hydraulic pump model</x:v>
      </x:c>
      <x:c r="B382" s="8" t="n">
        <x:v>0</x:v>
      </x:c>
      <x:c r="C382" s="9" t="n">
        <x:v>0</x:v>
      </x:c>
      <x:c r="D382" s="10" t="n">
        <x:v>0</x:v>
      </x:c>
      <x:c r="E382" s="8" t="n">
        <x:v>0</x:v>
      </x:c>
      <x:c r="F382" s="11" t="n">
        <x:v>0</x:v>
      </x:c>
      <x:c r="G382" s="7" t="str">
        <x:v>Informational</x:v>
      </x:c>
      <x:c r="H382" s="7" t="str">
        <x:v>Hydraulic Pumps</x:v>
      </x:c>
      <x:c r="I382" s="7" t="n">
        <x:v>5</x:v>
      </x:c>
      <x:c r="J382" s="7" t="str">
        <x:v>/products/hydraulic-pumps/</x:v>
      </x:c>
      <x:c r="K382" s="7" t="str">
        <x:v>Covered</x:v>
      </x:c>
      <x:c r="L382" s="7" t="str">
        <x:v>Expand supporting content</x:v>
      </x:c>
      <x:c r="M382" s="7" t="str">
        <x:v>Technical guide</x:v>
      </x:c>
      <x:c r="N382" s="7" t="n">
        <x:v>2</x:v>
      </x:c>
      <x:c r="O382" s="7" t="n">
        <x:f>IF(B382&gt;=1000,5,IF(B382&gt;=300,4,IF(B382&gt;=100,3,IF(B382&gt;=30,2,IF(B382&gt;=10,1,0)))))</x:f>
        <x:v>0</x:v>
      </x:c>
      <x:c r="P382" s="7" t="n">
        <x:f>IF(C382&gt;=5,4,IF(C382&gt;=2,3,IF(C382&gt;=1,2,IF(C382&gt;0,1,0))))</x:f>
        <x:v>0</x:v>
      </x:c>
      <x:c r="Q382" s="7" t="n">
        <x:f>N382*2+O382+P382+IF(F382&gt;=0.2,1,0)+IF(K382="Gap",2,0)-IF(I382&lt;=2,5,0)</x:f>
        <x:v>4</x:v>
      </x:c>
      <x:c r="R382" s="7" t="str">
        <x:f>IF(I382&lt;=2,"D",IF(Q382&gt;=15,"A",IF(Q382&gt;=11,"B",IF(Q382&gt;=7,"C","D"))))</x:f>
        <x:v>D</x:v>
      </x:c>
      <x:c r="S382" s="12" t="n">
        <x:f>B382*'Dashboard'!$B$11</x:f>
        <x:v>0</x:v>
      </x:c>
      <x:c r="T382" s="10" t="n">
        <x:f>S382*'Dashboard'!$D$11</x:f>
        <x:v>0</x:v>
      </x:c>
      <x:c r="U382" s="7" t="str">
        <x:v>Align title, evidence, internal links and RFQ CTA with this search intent.</x:v>
      </x:c>
    </x:row>
    <x:row r="383" ht="19" customHeight="1">
      <x:c r="A383" s="7" t="str">
        <x:v>how to read hydraulic valve model code</x:v>
      </x:c>
      <x:c r="B383" s="8" t="n">
        <x:v>0</x:v>
      </x:c>
      <x:c r="C383" s="9" t="n">
        <x:v>0</x:v>
      </x:c>
      <x:c r="D383" s="10" t="n">
        <x:v>0</x:v>
      </x:c>
      <x:c r="E383" s="8" t="n">
        <x:v>0</x:v>
      </x:c>
      <x:c r="F383" s="11" t="n">
        <x:v>0</x:v>
      </x:c>
      <x:c r="G383" s="7" t="str">
        <x:v>Informational</x:v>
      </x:c>
      <x:c r="H383" s="7" t="str">
        <x:v>Hydraulic Valves</x:v>
      </x:c>
      <x:c r="I383" s="7" t="n">
        <x:v>5</x:v>
      </x:c>
      <x:c r="J383" s="7" t="str">
        <x:v>/cross-reference/</x:v>
      </x:c>
      <x:c r="K383" s="7" t="str">
        <x:v>Covered</x:v>
      </x:c>
      <x:c r="L383" s="7" t="str">
        <x:v>Expand supporting content</x:v>
      </x:c>
      <x:c r="M383" s="7" t="str">
        <x:v>Technical guide</x:v>
      </x:c>
      <x:c r="N383" s="7" t="n">
        <x:v>2</x:v>
      </x:c>
      <x:c r="O383" s="7" t="n">
        <x:f>IF(B383&gt;=1000,5,IF(B383&gt;=300,4,IF(B383&gt;=100,3,IF(B383&gt;=30,2,IF(B383&gt;=10,1,0)))))</x:f>
        <x:v>0</x:v>
      </x:c>
      <x:c r="P383" s="7" t="n">
        <x:f>IF(C383&gt;=5,4,IF(C383&gt;=2,3,IF(C383&gt;=1,2,IF(C383&gt;0,1,0))))</x:f>
        <x:v>0</x:v>
      </x:c>
      <x:c r="Q383" s="7" t="n">
        <x:f>N383*2+O383+P383+IF(F383&gt;=0.2,1,0)+IF(K383="Gap",2,0)-IF(I383&lt;=2,5,0)</x:f>
        <x:v>4</x:v>
      </x:c>
      <x:c r="R383" s="7" t="str">
        <x:f>IF(I383&lt;=2,"D",IF(Q383&gt;=15,"A",IF(Q383&gt;=11,"B",IF(Q383&gt;=7,"C","D"))))</x:f>
        <x:v>D</x:v>
      </x:c>
      <x:c r="S383" s="12" t="n">
        <x:f>B383*'Dashboard'!$B$11</x:f>
        <x:v>0</x:v>
      </x:c>
      <x:c r="T383" s="10" t="n">
        <x:f>S383*'Dashboard'!$D$11</x:f>
        <x:v>0</x:v>
      </x:c>
      <x:c r="U383" s="7" t="str">
        <x:v>Align title, evidence, internal links and RFQ CTA with this search intent.</x:v>
      </x:c>
    </x:row>
    <x:row r="384" ht="19" customHeight="1">
      <x:c r="A384" s="7" t="str">
        <x:v>hydraulic motor model identification</x:v>
      </x:c>
      <x:c r="B384" s="8" t="n">
        <x:v>0</x:v>
      </x:c>
      <x:c r="C384" s="9" t="n">
        <x:v>0</x:v>
      </x:c>
      <x:c r="D384" s="10" t="n">
        <x:v>0</x:v>
      </x:c>
      <x:c r="E384" s="8" t="n">
        <x:v>0</x:v>
      </x:c>
      <x:c r="F384" s="11" t="n">
        <x:v>0</x:v>
      </x:c>
      <x:c r="G384" s="7" t="str">
        <x:v>Informational</x:v>
      </x:c>
      <x:c r="H384" s="7" t="str">
        <x:v>Hydraulic Motors</x:v>
      </x:c>
      <x:c r="I384" s="7" t="n">
        <x:v>5</x:v>
      </x:c>
      <x:c r="J384" s="7" t="str">
        <x:v>/cross-reference/</x:v>
      </x:c>
      <x:c r="K384" s="7" t="str">
        <x:v>Covered</x:v>
      </x:c>
      <x:c r="L384" s="7" t="str">
        <x:v>Expand supporting content</x:v>
      </x:c>
      <x:c r="M384" s="7" t="str">
        <x:v>Technical guide</x:v>
      </x:c>
      <x:c r="N384" s="7" t="n">
        <x:v>2</x:v>
      </x:c>
      <x:c r="O384" s="7" t="n">
        <x:f>IF(B384&gt;=1000,5,IF(B384&gt;=300,4,IF(B384&gt;=100,3,IF(B384&gt;=30,2,IF(B384&gt;=10,1,0)))))</x:f>
        <x:v>0</x:v>
      </x:c>
      <x:c r="P384" s="7" t="n">
        <x:f>IF(C384&gt;=5,4,IF(C384&gt;=2,3,IF(C384&gt;=1,2,IF(C384&gt;0,1,0))))</x:f>
        <x:v>0</x:v>
      </x:c>
      <x:c r="Q384" s="7" t="n">
        <x:f>N384*2+O384+P384+IF(F384&gt;=0.2,1,0)+IF(K384="Gap",2,0)-IF(I384&lt;=2,5,0)</x:f>
        <x:v>4</x:v>
      </x:c>
      <x:c r="R384" s="7" t="str">
        <x:f>IF(I384&lt;=2,"D",IF(Q384&gt;=15,"A",IF(Q384&gt;=11,"B",IF(Q384&gt;=7,"C","D"))))</x:f>
        <x:v>D</x:v>
      </x:c>
      <x:c r="S384" s="12" t="n">
        <x:f>B384*'Dashboard'!$B$11</x:f>
        <x:v>0</x:v>
      </x:c>
      <x:c r="T384" s="10" t="n">
        <x:f>S384*'Dashboard'!$D$11</x:f>
        <x:v>0</x:v>
      </x:c>
      <x:c r="U384" s="7" t="str">
        <x:v>Align title, evidence, internal links and RFQ CTA with this search intent.</x:v>
      </x:c>
    </x:row>
    <x:row r="385" ht="19" customHeight="1">
      <x:c r="A385" s="7" t="str">
        <x:v>hydraulic pump flange identification</x:v>
      </x:c>
      <x:c r="B385" s="8" t="n">
        <x:v>0</x:v>
      </x:c>
      <x:c r="C385" s="9" t="n">
        <x:v>0</x:v>
      </x:c>
      <x:c r="D385" s="10" t="n">
        <x:v>0</x:v>
      </x:c>
      <x:c r="E385" s="8" t="n">
        <x:v>0</x:v>
      </x:c>
      <x:c r="F385" s="11" t="n">
        <x:v>0</x:v>
      </x:c>
      <x:c r="G385" s="7" t="str">
        <x:v>Informational</x:v>
      </x:c>
      <x:c r="H385" s="7" t="str">
        <x:v>Hydraulic Pumps</x:v>
      </x:c>
      <x:c r="I385" s="7" t="n">
        <x:v>5</x:v>
      </x:c>
      <x:c r="J385" s="7" t="str">
        <x:v>/products/hydraulic-pumps/</x:v>
      </x:c>
      <x:c r="K385" s="7" t="str">
        <x:v>Covered</x:v>
      </x:c>
      <x:c r="L385" s="7" t="str">
        <x:v>Expand supporting content</x:v>
      </x:c>
      <x:c r="M385" s="7" t="str">
        <x:v>Technical guide</x:v>
      </x:c>
      <x:c r="N385" s="7" t="n">
        <x:v>2</x:v>
      </x:c>
      <x:c r="O385" s="7" t="n">
        <x:f>IF(B385&gt;=1000,5,IF(B385&gt;=300,4,IF(B385&gt;=100,3,IF(B385&gt;=30,2,IF(B385&gt;=10,1,0)))))</x:f>
        <x:v>0</x:v>
      </x:c>
      <x:c r="P385" s="7" t="n">
        <x:f>IF(C385&gt;=5,4,IF(C385&gt;=2,3,IF(C385&gt;=1,2,IF(C385&gt;0,1,0))))</x:f>
        <x:v>0</x:v>
      </x:c>
      <x:c r="Q385" s="7" t="n">
        <x:f>N385*2+O385+P385+IF(F385&gt;=0.2,1,0)+IF(K385="Gap",2,0)-IF(I385&lt;=2,5,0)</x:f>
        <x:v>4</x:v>
      </x:c>
      <x:c r="R385" s="7" t="str">
        <x:f>IF(I385&lt;=2,"D",IF(Q385&gt;=15,"A",IF(Q385&gt;=11,"B",IF(Q385&gt;=7,"C","D"))))</x:f>
        <x:v>D</x:v>
      </x:c>
      <x:c r="S385" s="12" t="n">
        <x:f>B385*'Dashboard'!$B$11</x:f>
        <x:v>0</x:v>
      </x:c>
      <x:c r="T385" s="10" t="n">
        <x:f>S385*'Dashboard'!$D$11</x:f>
        <x:v>0</x:v>
      </x:c>
      <x:c r="U385" s="7" t="str">
        <x:v>Align title, evidence, internal links and RFQ CTA with this search intent.</x:v>
      </x:c>
    </x:row>
    <x:row r="386" ht="19" customHeight="1">
      <x:c r="A386" s="7" t="str">
        <x:v>hydraulic pump model identification</x:v>
      </x:c>
      <x:c r="B386" s="8" t="n">
        <x:v>0</x:v>
      </x:c>
      <x:c r="C386" s="9" t="n">
        <x:v>0</x:v>
      </x:c>
      <x:c r="D386" s="10" t="n">
        <x:v>0</x:v>
      </x:c>
      <x:c r="E386" s="8" t="n">
        <x:v>0</x:v>
      </x:c>
      <x:c r="F386" s="11" t="n">
        <x:v>0</x:v>
      </x:c>
      <x:c r="G386" s="7" t="str">
        <x:v>Informational</x:v>
      </x:c>
      <x:c r="H386" s="7" t="str">
        <x:v>Hydraulic Pumps</x:v>
      </x:c>
      <x:c r="I386" s="7" t="n">
        <x:v>5</x:v>
      </x:c>
      <x:c r="J386" s="7" t="str">
        <x:v>/cross-reference/</x:v>
      </x:c>
      <x:c r="K386" s="7" t="str">
        <x:v>Covered</x:v>
      </x:c>
      <x:c r="L386" s="7" t="str">
        <x:v>Expand supporting content</x:v>
      </x:c>
      <x:c r="M386" s="7" t="str">
        <x:v>Technical guide</x:v>
      </x:c>
      <x:c r="N386" s="7" t="n">
        <x:v>2</x:v>
      </x:c>
      <x:c r="O386" s="7" t="n">
        <x:f>IF(B386&gt;=1000,5,IF(B386&gt;=300,4,IF(B386&gt;=100,3,IF(B386&gt;=30,2,IF(B386&gt;=10,1,0)))))</x:f>
        <x:v>0</x:v>
      </x:c>
      <x:c r="P386" s="7" t="n">
        <x:f>IF(C386&gt;=5,4,IF(C386&gt;=2,3,IF(C386&gt;=1,2,IF(C386&gt;0,1,0))))</x:f>
        <x:v>0</x:v>
      </x:c>
      <x:c r="Q386" s="7" t="n">
        <x:f>N386*2+O386+P386+IF(F386&gt;=0.2,1,0)+IF(K386="Gap",2,0)-IF(I386&lt;=2,5,0)</x:f>
        <x:v>4</x:v>
      </x:c>
      <x:c r="R386" s="7" t="str">
        <x:f>IF(I386&lt;=2,"D",IF(Q386&gt;=15,"A",IF(Q386&gt;=11,"B",IF(Q386&gt;=7,"C","D"))))</x:f>
        <x:v>D</x:v>
      </x:c>
      <x:c r="S386" s="12" t="n">
        <x:f>B386*'Dashboard'!$B$11</x:f>
        <x:v>0</x:v>
      </x:c>
      <x:c r="T386" s="10" t="n">
        <x:f>S386*'Dashboard'!$D$11</x:f>
        <x:v>0</x:v>
      </x:c>
      <x:c r="U386" s="7" t="str">
        <x:v>Align title, evidence, internal links and RFQ CTA with this search intent.</x:v>
      </x:c>
    </x:row>
    <x:row r="387" ht="19" customHeight="1">
      <x:c r="A387" s="7" t="str">
        <x:v>hydraulic pump nameplate identification</x:v>
      </x:c>
      <x:c r="B387" s="8" t="n">
        <x:v>0</x:v>
      </x:c>
      <x:c r="C387" s="9" t="n">
        <x:v>0</x:v>
      </x:c>
      <x:c r="D387" s="10" t="n">
        <x:v>0</x:v>
      </x:c>
      <x:c r="E387" s="8" t="n">
        <x:v>0</x:v>
      </x:c>
      <x:c r="F387" s="11" t="n">
        <x:v>0</x:v>
      </x:c>
      <x:c r="G387" s="7" t="str">
        <x:v>Informational</x:v>
      </x:c>
      <x:c r="H387" s="7" t="str">
        <x:v>Hydraulic Pumps</x:v>
      </x:c>
      <x:c r="I387" s="7" t="n">
        <x:v>5</x:v>
      </x:c>
      <x:c r="J387" s="7" t="str">
        <x:v>/cross-reference/</x:v>
      </x:c>
      <x:c r="K387" s="7" t="str">
        <x:v>Covered</x:v>
      </x:c>
      <x:c r="L387" s="7" t="str">
        <x:v>Expand supporting content</x:v>
      </x:c>
      <x:c r="M387" s="7" t="str">
        <x:v>Technical guide</x:v>
      </x:c>
      <x:c r="N387" s="7" t="n">
        <x:v>2</x:v>
      </x:c>
      <x:c r="O387" s="7" t="n">
        <x:f>IF(B387&gt;=1000,5,IF(B387&gt;=300,4,IF(B387&gt;=100,3,IF(B387&gt;=30,2,IF(B387&gt;=10,1,0)))))</x:f>
        <x:v>0</x:v>
      </x:c>
      <x:c r="P387" s="7" t="n">
        <x:f>IF(C387&gt;=5,4,IF(C387&gt;=2,3,IF(C387&gt;=1,2,IF(C387&gt;0,1,0))))</x:f>
        <x:v>0</x:v>
      </x:c>
      <x:c r="Q387" s="7" t="n">
        <x:f>N387*2+O387+P387+IF(F387&gt;=0.2,1,0)+IF(K387="Gap",2,0)-IF(I387&lt;=2,5,0)</x:f>
        <x:v>4</x:v>
      </x:c>
      <x:c r="R387" s="7" t="str">
        <x:f>IF(I387&lt;=2,"D",IF(Q387&gt;=15,"A",IF(Q387&gt;=11,"B",IF(Q387&gt;=7,"C","D"))))</x:f>
        <x:v>D</x:v>
      </x:c>
      <x:c r="S387" s="12" t="n">
        <x:f>B387*'Dashboard'!$B$11</x:f>
        <x:v>0</x:v>
      </x:c>
      <x:c r="T387" s="10" t="n">
        <x:f>S387*'Dashboard'!$D$11</x:f>
        <x:v>0</x:v>
      </x:c>
      <x:c r="U387" s="7" t="str">
        <x:v>Align title, evidence, internal links and RFQ CTA with this search intent.</x:v>
      </x:c>
    </x:row>
    <x:row r="388" ht="19" customHeight="1">
      <x:c r="A388" s="7" t="str">
        <x:v>hydraulic pump rotation identification</x:v>
      </x:c>
      <x:c r="B388" s="8" t="n">
        <x:v>0</x:v>
      </x:c>
      <x:c r="C388" s="9" t="n">
        <x:v>0</x:v>
      </x:c>
      <x:c r="D388" s="10" t="n">
        <x:v>0</x:v>
      </x:c>
      <x:c r="E388" s="8" t="n">
        <x:v>0</x:v>
      </x:c>
      <x:c r="F388" s="11" t="n">
        <x:v>0</x:v>
      </x:c>
      <x:c r="G388" s="7" t="str">
        <x:v>Informational</x:v>
      </x:c>
      <x:c r="H388" s="7" t="str">
        <x:v>Hydraulic Pumps</x:v>
      </x:c>
      <x:c r="I388" s="7" t="n">
        <x:v>5</x:v>
      </x:c>
      <x:c r="J388" s="7" t="str">
        <x:v>/products/hydraulic-pumps/</x:v>
      </x:c>
      <x:c r="K388" s="7" t="str">
        <x:v>Covered</x:v>
      </x:c>
      <x:c r="L388" s="7" t="str">
        <x:v>Expand supporting content</x:v>
      </x:c>
      <x:c r="M388" s="7" t="str">
        <x:v>Technical guide</x:v>
      </x:c>
      <x:c r="N388" s="7" t="n">
        <x:v>2</x:v>
      </x:c>
      <x:c r="O388" s="7" t="n">
        <x:f>IF(B388&gt;=1000,5,IF(B388&gt;=300,4,IF(B388&gt;=100,3,IF(B388&gt;=30,2,IF(B388&gt;=10,1,0)))))</x:f>
        <x:v>0</x:v>
      </x:c>
      <x:c r="P388" s="7" t="n">
        <x:f>IF(C388&gt;=5,4,IF(C388&gt;=2,3,IF(C388&gt;=1,2,IF(C388&gt;0,1,0))))</x:f>
        <x:v>0</x:v>
      </x:c>
      <x:c r="Q388" s="7" t="n">
        <x:f>N388*2+O388+P388+IF(F388&gt;=0.2,1,0)+IF(K388="Gap",2,0)-IF(I388&lt;=2,5,0)</x:f>
        <x:v>4</x:v>
      </x:c>
      <x:c r="R388" s="7" t="str">
        <x:f>IF(I388&lt;=2,"D",IF(Q388&gt;=15,"A",IF(Q388&gt;=11,"B",IF(Q388&gt;=7,"C","D"))))</x:f>
        <x:v>D</x:v>
      </x:c>
      <x:c r="S388" s="12" t="n">
        <x:f>B388*'Dashboard'!$B$11</x:f>
        <x:v>0</x:v>
      </x:c>
      <x:c r="T388" s="10" t="n">
        <x:f>S388*'Dashboard'!$D$11</x:f>
        <x:v>0</x:v>
      </x:c>
      <x:c r="U388" s="7" t="str">
        <x:v>Align title, evidence, internal links and RFQ CTA with this search intent.</x:v>
      </x:c>
    </x:row>
    <x:row r="389" ht="19" customHeight="1">
      <x:c r="A389" s="7" t="str">
        <x:v>hydraulic pump shaft identification</x:v>
      </x:c>
      <x:c r="B389" s="8" t="n">
        <x:v>0</x:v>
      </x:c>
      <x:c r="C389" s="9" t="n">
        <x:v>0</x:v>
      </x:c>
      <x:c r="D389" s="10" t="n">
        <x:v>0</x:v>
      </x:c>
      <x:c r="E389" s="8" t="n">
        <x:v>0</x:v>
      </x:c>
      <x:c r="F389" s="11" t="n">
        <x:v>0</x:v>
      </x:c>
      <x:c r="G389" s="7" t="str">
        <x:v>Informational</x:v>
      </x:c>
      <x:c r="H389" s="7" t="str">
        <x:v>Hydraulic Pumps</x:v>
      </x:c>
      <x:c r="I389" s="7" t="n">
        <x:v>5</x:v>
      </x:c>
      <x:c r="J389" s="7" t="str">
        <x:v>/products/hydraulic-pumps/</x:v>
      </x:c>
      <x:c r="K389" s="7" t="str">
        <x:v>Covered</x:v>
      </x:c>
      <x:c r="L389" s="7" t="str">
        <x:v>Expand supporting content</x:v>
      </x:c>
      <x:c r="M389" s="7" t="str">
        <x:v>Technical guide</x:v>
      </x:c>
      <x:c r="N389" s="7" t="n">
        <x:v>2</x:v>
      </x:c>
      <x:c r="O389" s="7" t="n">
        <x:f>IF(B389&gt;=1000,5,IF(B389&gt;=300,4,IF(B389&gt;=100,3,IF(B389&gt;=30,2,IF(B389&gt;=10,1,0)))))</x:f>
        <x:v>0</x:v>
      </x:c>
      <x:c r="P389" s="7" t="n">
        <x:f>IF(C389&gt;=5,4,IF(C389&gt;=2,3,IF(C389&gt;=1,2,IF(C389&gt;0,1,0))))</x:f>
        <x:v>0</x:v>
      </x:c>
      <x:c r="Q389" s="7" t="n">
        <x:f>N389*2+O389+P389+IF(F389&gt;=0.2,1,0)+IF(K389="Gap",2,0)-IF(I389&lt;=2,5,0)</x:f>
        <x:v>4</x:v>
      </x:c>
      <x:c r="R389" s="7" t="str">
        <x:f>IF(I389&lt;=2,"D",IF(Q389&gt;=15,"A",IF(Q389&gt;=11,"B",IF(Q389&gt;=7,"C","D"))))</x:f>
        <x:v>D</x:v>
      </x:c>
      <x:c r="S389" s="12" t="n">
        <x:f>B389*'Dashboard'!$B$11</x:f>
        <x:v>0</x:v>
      </x:c>
      <x:c r="T389" s="10" t="n">
        <x:f>S389*'Dashboard'!$D$11</x:f>
        <x:v>0</x:v>
      </x:c>
      <x:c r="U389" s="7" t="str">
        <x:v>Align title, evidence, internal links and RFQ CTA with this search intent.</x:v>
      </x:c>
    </x:row>
    <x:row r="390" ht="19" customHeight="1">
      <x:c r="A390" s="7" t="str">
        <x:v>hydraulic valve model identification</x:v>
      </x:c>
      <x:c r="B390" s="8" t="n">
        <x:v>0</x:v>
      </x:c>
      <x:c r="C390" s="9" t="n">
        <x:v>0</x:v>
      </x:c>
      <x:c r="D390" s="10" t="n">
        <x:v>0</x:v>
      </x:c>
      <x:c r="E390" s="8" t="n">
        <x:v>0</x:v>
      </x:c>
      <x:c r="F390" s="11" t="n">
        <x:v>0</x:v>
      </x:c>
      <x:c r="G390" s="7" t="str">
        <x:v>Informational</x:v>
      </x:c>
      <x:c r="H390" s="7" t="str">
        <x:v>Hydraulic Valves</x:v>
      </x:c>
      <x:c r="I390" s="7" t="n">
        <x:v>5</x:v>
      </x:c>
      <x:c r="J390" s="7" t="str">
        <x:v>/cross-reference/</x:v>
      </x:c>
      <x:c r="K390" s="7" t="str">
        <x:v>Covered</x:v>
      </x:c>
      <x:c r="L390" s="7" t="str">
        <x:v>Expand supporting content</x:v>
      </x:c>
      <x:c r="M390" s="7" t="str">
        <x:v>Technical guide</x:v>
      </x:c>
      <x:c r="N390" s="7" t="n">
        <x:v>2</x:v>
      </x:c>
      <x:c r="O390" s="7" t="n">
        <x:f>IF(B390&gt;=1000,5,IF(B390&gt;=300,4,IF(B390&gt;=100,3,IF(B390&gt;=30,2,IF(B390&gt;=10,1,0)))))</x:f>
        <x:v>0</x:v>
      </x:c>
      <x:c r="P390" s="7" t="n">
        <x:f>IF(C390&gt;=5,4,IF(C390&gt;=2,3,IF(C390&gt;=1,2,IF(C390&gt;0,1,0))))</x:f>
        <x:v>0</x:v>
      </x:c>
      <x:c r="Q390" s="7" t="n">
        <x:f>N390*2+O390+P390+IF(F390&gt;=0.2,1,0)+IF(K390="Gap",2,0)-IF(I390&lt;=2,5,0)</x:f>
        <x:v>4</x:v>
      </x:c>
      <x:c r="R390" s="7" t="str">
        <x:f>IF(I390&lt;=2,"D",IF(Q390&gt;=15,"A",IF(Q390&gt;=11,"B",IF(Q390&gt;=7,"C","D"))))</x:f>
        <x:v>D</x:v>
      </x:c>
      <x:c r="S390" s="12" t="n">
        <x:f>B390*'Dashboard'!$B$11</x:f>
        <x:v>0</x:v>
      </x:c>
      <x:c r="T390" s="10" t="n">
        <x:f>S390*'Dashboard'!$D$11</x:f>
        <x:v>0</x:v>
      </x:c>
      <x:c r="U390" s="7" t="str">
        <x:v>Align title, evidence, internal links and RFQ CTA with this search intent.</x:v>
      </x:c>
    </x:row>
    <x:row r="391" ht="19" customHeight="1">
      <x:c r="A391" s="7" t="str">
        <x:v>mcr</x:v>
      </x:c>
      <x:c r="B391" s="8" t="n">
        <x:v>60500</x:v>
      </x:c>
      <x:c r="C391" s="9" t="n">
        <x:v>0.53</x:v>
      </x:c>
      <x:c r="D391" s="10" t="n">
        <x:v>0.05</x:v>
      </x:c>
      <x:c r="E391" s="8" t="n">
        <x:v>40500</x:v>
      </x:c>
      <x:c r="F391" s="11" t="n">
        <x:v>-0.32406119610570233</x:v>
      </x:c>
      <x:c r="G391" s="7" t="str">
        <x:v>Product research</x:v>
      </x:c>
      <x:c r="H391" s="7" t="str">
        <x:v>Hydraulic Motors</x:v>
      </x:c>
      <x:c r="I391" s="7" t="n">
        <x:v>1</x:v>
      </x:c>
      <x:c r="J391" s="7" t="str">
        <x:v>/series/mcr/</x:v>
      </x:c>
      <x:c r="K391" s="7" t="str">
        <x:v>Covered</x:v>
      </x:c>
      <x:c r="L391" s="7" t="str">
        <x:v>Exclude / qualify</x:v>
      </x:c>
      <x:c r="M391" s="7" t="str">
        <x:v>Series hub</x:v>
      </x:c>
      <x:c r="N391" s="7" t="n">
        <x:v>1</x:v>
      </x:c>
      <x:c r="O391" s="7" t="n">
        <x:f>IF(B391&gt;=1000,5,IF(B391&gt;=300,4,IF(B391&gt;=100,3,IF(B391&gt;=30,2,IF(B391&gt;=10,1,0)))))</x:f>
        <x:v>5</x:v>
      </x:c>
      <x:c r="P391" s="7" t="n">
        <x:f>IF(C391&gt;=5,4,IF(C391&gt;=2,3,IF(C391&gt;=1,2,IF(C391&gt;0,1,0))))</x:f>
        <x:v>1</x:v>
      </x:c>
      <x:c r="Q391" s="7" t="n">
        <x:f>N391*2+O391+P391+IF(F391&gt;=0.2,1,0)+IF(K391="Gap",2,0)-IF(I391&lt;=2,5,0)</x:f>
        <x:v>3</x:v>
      </x:c>
      <x:c r="R391" s="7" t="str">
        <x:f>IF(I391&lt;=2,"D",IF(Q391&gt;=15,"A",IF(Q391&gt;=11,"B",IF(Q391&gt;=7,"C","D"))))</x:f>
        <x:v>D</x:v>
      </x:c>
      <x:c r="S391" s="12" t="n">
        <x:f>B391*'Dashboard'!$B$11</x:f>
        <x:v>6050</x:v>
      </x:c>
      <x:c r="T391" s="10" t="n">
        <x:f>S391*'Dashboard'!$D$11</x:f>
        <x:v>121</x:v>
      </x:c>
      <x:c r="U391" s="7" t="str">
        <x:v>Ambiguous acronym; only target with hydraulic, brand or product qualifier.</x:v>
      </x:c>
    </x:row>
    <x:row r="392" ht="19" customHeight="1">
      <x:c r="A392" s="7" t="str">
        <x:v>kawasaki parts</x:v>
      </x:c>
      <x:c r="B392" s="8" t="n">
        <x:v>6600</x:v>
      </x:c>
      <x:c r="C392" s="9" t="n">
        <x:v>0.46</x:v>
      </x:c>
      <x:c r="D392" s="10" t="n">
        <x:v>0.75</x:v>
      </x:c>
      <x:c r="E392" s="8" t="n">
        <x:v>8100</x:v>
      </x:c>
      <x:c r="F392" s="11" t="n">
        <x:v>0.17249698431845603</x:v>
      </x:c>
      <x:c r="G392" s="7" t="str">
        <x:v>Commercial</x:v>
      </x:c>
      <x:c r="H392" s="7" t="str">
        <x:v>Brand Coverage</x:v>
      </x:c>
      <x:c r="I392" s="7" t="n">
        <x:v>2</x:v>
      </x:c>
      <x:c r="J392" s="7" t="str">
        <x:v>/brands/kawasaki/</x:v>
      </x:c>
      <x:c r="K392" s="7" t="str">
        <x:v>Covered</x:v>
      </x:c>
      <x:c r="L392" s="7" t="str">
        <x:v>Exclude / qualify</x:v>
      </x:c>
      <x:c r="M392" s="7" t="str">
        <x:v>Brand hub</x:v>
      </x:c>
      <x:c r="N392" s="7" t="n">
        <x:v>1</x:v>
      </x:c>
      <x:c r="O392" s="7" t="n">
        <x:f>IF(B392&gt;=1000,5,IF(B392&gt;=300,4,IF(B392&gt;=100,3,IF(B392&gt;=30,2,IF(B392&gt;=10,1,0)))))</x:f>
        <x:v>5</x:v>
      </x:c>
      <x:c r="P392" s="7" t="n">
        <x:f>IF(C392&gt;=5,4,IF(C392&gt;=2,3,IF(C392&gt;=1,2,IF(C392&gt;0,1,0))))</x:f>
        <x:v>1</x:v>
      </x:c>
      <x:c r="Q392" s="7" t="n">
        <x:f>N392*2+O392+P392+IF(F392&gt;=0.2,1,0)+IF(K392="Gap",2,0)-IF(I392&lt;=2,5,0)</x:f>
        <x:v>3</x:v>
      </x:c>
      <x:c r="R392" s="7" t="str">
        <x:f>IF(I392&lt;=2,"D",IF(Q392&gt;=15,"A",IF(Q392&gt;=11,"B",IF(Q392&gt;=7,"C","D"))))</x:f>
        <x:v>D</x:v>
      </x:c>
      <x:c r="S392" s="12" t="n">
        <x:f>B392*'Dashboard'!$B$11</x:f>
        <x:v>660</x:v>
      </x:c>
      <x:c r="T392" s="10" t="n">
        <x:f>S392*'Dashboard'!$D$11</x:f>
        <x:v>13.200000000000001</x:v>
      </x:c>
      <x:c r="U392" s="7" t="str">
        <x:v>Broad brand term; narrow to a hydraulic product, series or exact part.</x:v>
      </x:c>
    </x:row>
    <x:row r="393" ht="19" customHeight="1">
      <x:c r="A393" s="7" t="str">
        <x:v>pvh</x:v>
      </x:c>
      <x:c r="B393" s="8" t="n">
        <x:v>8100</x:v>
      </x:c>
      <x:c r="C393" s="9" t="n">
        <x:v>0</x:v>
      </x:c>
      <x:c r="D393" s="10" t="n">
        <x:v>0.01</x:v>
      </x:c>
      <x:c r="E393" s="8" t="n">
        <x:v>6600</x:v>
      </x:c>
      <x:c r="F393" s="11" t="n">
        <x:v>-0.12</x:v>
      </x:c>
      <x:c r="G393" s="7" t="str">
        <x:v>Product research</x:v>
      </x:c>
      <x:c r="H393" s="7" t="str">
        <x:v>Hydraulic Pumps</x:v>
      </x:c>
      <x:c r="I393" s="7" t="n">
        <x:v>1</x:v>
      </x:c>
      <x:c r="J393" s="7" t="str">
        <x:v>/series/pvh/</x:v>
      </x:c>
      <x:c r="K393" s="7" t="str">
        <x:v>Covered</x:v>
      </x:c>
      <x:c r="L393" s="7" t="str">
        <x:v>Exclude / qualify</x:v>
      </x:c>
      <x:c r="M393" s="7" t="str">
        <x:v>Series hub</x:v>
      </x:c>
      <x:c r="N393" s="7" t="n">
        <x:v>1</x:v>
      </x:c>
      <x:c r="O393" s="7" t="n">
        <x:f>IF(B393&gt;=1000,5,IF(B393&gt;=300,4,IF(B393&gt;=100,3,IF(B393&gt;=30,2,IF(B393&gt;=10,1,0)))))</x:f>
        <x:v>5</x:v>
      </x:c>
      <x:c r="P393" s="7" t="n">
        <x:f>IF(C393&gt;=5,4,IF(C393&gt;=2,3,IF(C393&gt;=1,2,IF(C393&gt;0,1,0))))</x:f>
        <x:v>0</x:v>
      </x:c>
      <x:c r="Q393" s="7" t="n">
        <x:f>N393*2+O393+P393+IF(F393&gt;=0.2,1,0)+IF(K393="Gap",2,0)-IF(I393&lt;=2,5,0)</x:f>
        <x:v>2</x:v>
      </x:c>
      <x:c r="R393" s="7" t="str">
        <x:f>IF(I393&lt;=2,"D",IF(Q393&gt;=15,"A",IF(Q393&gt;=11,"B",IF(Q393&gt;=7,"C","D"))))</x:f>
        <x:v>D</x:v>
      </x:c>
      <x:c r="S393" s="12" t="n">
        <x:f>B393*'Dashboard'!$B$11</x:f>
        <x:v>810</x:v>
      </x:c>
      <x:c r="T393" s="10" t="n">
        <x:f>S393*'Dashboard'!$D$11</x:f>
        <x:v>16.2</x:v>
      </x:c>
      <x:c r="U393" s="7" t="str">
        <x:v>Ambiguous acronym; only target with hydraulic, brand or product qualifier.</x:v>
      </x:c>
    </x:row>
    <x:row r="394" ht="19" customHeight="1">
      <x:c r="A394" s="7" t="str">
        <x:v>pavc</x:v>
      </x:c>
      <x:c r="B394" s="8" t="n">
        <x:v>480</x:v>
      </x:c>
      <x:c r="C394" s="9" t="n">
        <x:v>0</x:v>
      </x:c>
      <x:c r="D394" s="10" t="n">
        <x:v>0</x:v>
      </x:c>
      <x:c r="E394" s="8" t="n">
        <x:v>320</x:v>
      </x:c>
      <x:c r="F394" s="11" t="n">
        <x:v>-0.3745928338762215</x:v>
      </x:c>
      <x:c r="G394" s="7" t="str">
        <x:v>Product research</x:v>
      </x:c>
      <x:c r="H394" s="7" t="str">
        <x:v>Hydraulic Pumps</x:v>
      </x:c>
      <x:c r="I394" s="7" t="n">
        <x:v>1</x:v>
      </x:c>
      <x:c r="J394" s="7" t="str">
        <x:v>/series/pavc/</x:v>
      </x:c>
      <x:c r="K394" s="7" t="str">
        <x:v>Covered</x:v>
      </x:c>
      <x:c r="L394" s="7" t="str">
        <x:v>Exclude / qualify</x:v>
      </x:c>
      <x:c r="M394" s="7" t="str">
        <x:v>Series hub</x:v>
      </x:c>
      <x:c r="N394" s="7" t="n">
        <x:v>1</x:v>
      </x:c>
      <x:c r="O394" s="7" t="n">
        <x:f>IF(B394&gt;=1000,5,IF(B394&gt;=300,4,IF(B394&gt;=100,3,IF(B394&gt;=30,2,IF(B394&gt;=10,1,0)))))</x:f>
        <x:v>4</x:v>
      </x:c>
      <x:c r="P394" s="7" t="n">
        <x:f>IF(C394&gt;=5,4,IF(C394&gt;=2,3,IF(C394&gt;=1,2,IF(C394&gt;0,1,0))))</x:f>
        <x:v>0</x:v>
      </x:c>
      <x:c r="Q394" s="7" t="n">
        <x:f>N394*2+O394+P394+IF(F394&gt;=0.2,1,0)+IF(K394="Gap",2,0)-IF(I394&lt;=2,5,0)</x:f>
        <x:v>1</x:v>
      </x:c>
      <x:c r="R394" s="7" t="str">
        <x:f>IF(I394&lt;=2,"D",IF(Q394&gt;=15,"A",IF(Q394&gt;=11,"B",IF(Q394&gt;=7,"C","D"))))</x:f>
        <x:v>D</x:v>
      </x:c>
      <x:c r="S394" s="12" t="n">
        <x:f>B394*'Dashboard'!$B$11</x:f>
        <x:v>48</x:v>
      </x:c>
      <x:c r="T394" s="10" t="n">
        <x:f>S394*'Dashboard'!$D$11</x:f>
        <x:v>0.96</x:v>
      </x:c>
      <x:c r="U394" s="7" t="str">
        <x:v>Ambiguous acronym; only target with hydraulic, brand or product qualifier.</x:v>
      </x:c>
    </x:row>
    <x:row r="395" ht="19" customHeight="1">
      <x:c r="A395" s="7" t="str">
        <x:v>m1d</x:v>
      </x:c>
      <x:c r="B395" s="8" t="n">
        <x:v>390</x:v>
      </x:c>
      <x:c r="C395" s="9" t="n">
        <x:v>0</x:v>
      </x:c>
      <x:c r="D395" s="10" t="n">
        <x:v>0</x:v>
      </x:c>
      <x:c r="E395" s="8" t="n">
        <x:v>320</x:v>
      </x:c>
      <x:c r="F395" s="11" t="n">
        <x:v>-0.2558139534883721</x:v>
      </x:c>
      <x:c r="G395" s="7" t="str">
        <x:v>Product research</x:v>
      </x:c>
      <x:c r="H395" s="7" t="str">
        <x:v>Hydraulic Motors</x:v>
      </x:c>
      <x:c r="I395" s="7" t="n">
        <x:v>1</x:v>
      </x:c>
      <x:c r="J395" s="7" t="str">
        <x:v>/series/m1d/</x:v>
      </x:c>
      <x:c r="K395" s="7" t="str">
        <x:v>Covered</x:v>
      </x:c>
      <x:c r="L395" s="7" t="str">
        <x:v>Exclude / qualify</x:v>
      </x:c>
      <x:c r="M395" s="7" t="str">
        <x:v>Series hub</x:v>
      </x:c>
      <x:c r="N395" s="7" t="n">
        <x:v>1</x:v>
      </x:c>
      <x:c r="O395" s="7" t="n">
        <x:f>IF(B395&gt;=1000,5,IF(B395&gt;=300,4,IF(B395&gt;=100,3,IF(B395&gt;=30,2,IF(B395&gt;=10,1,0)))))</x:f>
        <x:v>4</x:v>
      </x:c>
      <x:c r="P395" s="7" t="n">
        <x:f>IF(C395&gt;=5,4,IF(C395&gt;=2,3,IF(C395&gt;=1,2,IF(C395&gt;0,1,0))))</x:f>
        <x:v>0</x:v>
      </x:c>
      <x:c r="Q395" s="7" t="n">
        <x:f>N395*2+O395+P395+IF(F395&gt;=0.2,1,0)+IF(K395="Gap",2,0)-IF(I395&lt;=2,5,0)</x:f>
        <x:v>1</x:v>
      </x:c>
      <x:c r="R395" s="7" t="str">
        <x:f>IF(I395&lt;=2,"D",IF(Q395&gt;=15,"A",IF(Q395&gt;=11,"B",IF(Q395&gt;=7,"C","D"))))</x:f>
        <x:v>D</x:v>
      </x:c>
      <x:c r="S395" s="12" t="n">
        <x:f>B395*'Dashboard'!$B$11</x:f>
        <x:v>39</x:v>
      </x:c>
      <x:c r="T395" s="10" t="n">
        <x:f>S395*'Dashboard'!$D$11</x:f>
        <x:v>0.78</x:v>
      </x:c>
      <x:c r="U395" s="7" t="str">
        <x:v>Ambiguous acronym; only target with hydraulic, brand or product qualifier.</x:v>
      </x:c>
    </x:row>
    <x:row r="396" ht="19" customHeight="1">
      <x:c r="A396" s="7" t="str">
        <x:v>parker parts</x:v>
      </x:c>
      <x:c r="B396" s="8" t="n">
        <x:v>140</x:v>
      </x:c>
      <x:c r="C396" s="9" t="n">
        <x:v>0.99</x:v>
      </x:c>
      <x:c r="D396" s="10" t="n">
        <x:v>0.92</x:v>
      </x:c>
      <x:c r="E396" s="8" t="n">
        <x:v>170</x:v>
      </x:c>
      <x:c r="F396" s="11" t="n">
        <x:v>0.12707182320441981</x:v>
      </x:c>
      <x:c r="G396" s="7" t="str">
        <x:v>Commercial</x:v>
      </x:c>
      <x:c r="H396" s="7" t="str">
        <x:v>Brand Coverage</x:v>
      </x:c>
      <x:c r="I396" s="7" t="n">
        <x:v>2</x:v>
      </x:c>
      <x:c r="J396" s="7" t="str">
        <x:v>/brands/parker/</x:v>
      </x:c>
      <x:c r="K396" s="7" t="str">
        <x:v>Covered</x:v>
      </x:c>
      <x:c r="L396" s="7" t="str">
        <x:v>Exclude / qualify</x:v>
      </x:c>
      <x:c r="M396" s="7" t="str">
        <x:v>Brand hub</x:v>
      </x:c>
      <x:c r="N396" s="7" t="n">
        <x:v>1</x:v>
      </x:c>
      <x:c r="O396" s="7" t="n">
        <x:f>IF(B396&gt;=1000,5,IF(B396&gt;=300,4,IF(B396&gt;=100,3,IF(B396&gt;=30,2,IF(B396&gt;=10,1,0)))))</x:f>
        <x:v>3</x:v>
      </x:c>
      <x:c r="P396" s="7" t="n">
        <x:f>IF(C396&gt;=5,4,IF(C396&gt;=2,3,IF(C396&gt;=1,2,IF(C396&gt;0,1,0))))</x:f>
        <x:v>1</x:v>
      </x:c>
      <x:c r="Q396" s="7" t="n">
        <x:f>N396*2+O396+P396+IF(F396&gt;=0.2,1,0)+IF(K396="Gap",2,0)-IF(I396&lt;=2,5,0)</x:f>
        <x:v>1</x:v>
      </x:c>
      <x:c r="R396" s="7" t="str">
        <x:f>IF(I396&lt;=2,"D",IF(Q396&gt;=15,"A",IF(Q396&gt;=11,"B",IF(Q396&gt;=7,"C","D"))))</x:f>
        <x:v>D</x:v>
      </x:c>
      <x:c r="S396" s="12" t="n">
        <x:f>B396*'Dashboard'!$B$11</x:f>
        <x:v>14</x:v>
      </x:c>
      <x:c r="T396" s="10" t="n">
        <x:f>S396*'Dashboard'!$D$11</x:f>
        <x:v>0.28</x:v>
      </x:c>
      <x:c r="U396" s="7" t="str">
        <x:v>Broad brand term; narrow to a hydraulic product, series or exact part.</x:v>
      </x:c>
    </x:row>
    <x:row r="397" ht="19" customHeight="1">
      <x:c r="A397" s="7" t="str">
        <x:v>dg4v</x:v>
      </x:c>
      <x:c r="B397" s="8" t="n">
        <x:v>70</x:v>
      </x:c>
      <x:c r="C397" s="9" t="n">
        <x:v>1.54</x:v>
      </x:c>
      <x:c r="D397" s="10" t="n">
        <x:v>0.67</x:v>
      </x:c>
      <x:c r="E397" s="8" t="n">
        <x:v>30</x:v>
      </x:c>
      <x:c r="F397" s="11" t="n">
        <x:v>-0.5714285714285714</x:v>
      </x:c>
      <x:c r="G397" s="7" t="str">
        <x:v>Product research</x:v>
      </x:c>
      <x:c r="H397" s="7" t="str">
        <x:v>Hydraulic Valves</x:v>
      </x:c>
      <x:c r="I397" s="7" t="n">
        <x:v>1</x:v>
      </x:c>
      <x:c r="J397" s="7" t="str">
        <x:v>/series/dg4v/</x:v>
      </x:c>
      <x:c r="K397" s="7" t="str">
        <x:v>Covered</x:v>
      </x:c>
      <x:c r="L397" s="7" t="str">
        <x:v>Exclude / qualify</x:v>
      </x:c>
      <x:c r="M397" s="7" t="str">
        <x:v>Series hub</x:v>
      </x:c>
      <x:c r="N397" s="7" t="n">
        <x:v>1</x:v>
      </x:c>
      <x:c r="O397" s="7" t="n">
        <x:f>IF(B397&gt;=1000,5,IF(B397&gt;=300,4,IF(B397&gt;=100,3,IF(B397&gt;=30,2,IF(B397&gt;=10,1,0)))))</x:f>
        <x:v>2</x:v>
      </x:c>
      <x:c r="P397" s="7" t="n">
        <x:f>IF(C397&gt;=5,4,IF(C397&gt;=2,3,IF(C397&gt;=1,2,IF(C397&gt;0,1,0))))</x:f>
        <x:v>2</x:v>
      </x:c>
      <x:c r="Q397" s="7" t="n">
        <x:f>N397*2+O397+P397+IF(F397&gt;=0.2,1,0)+IF(K397="Gap",2,0)-IF(I397&lt;=2,5,0)</x:f>
        <x:v>1</x:v>
      </x:c>
      <x:c r="R397" s="7" t="str">
        <x:f>IF(I397&lt;=2,"D",IF(Q397&gt;=15,"A",IF(Q397&gt;=11,"B",IF(Q397&gt;=7,"C","D"))))</x:f>
        <x:v>D</x:v>
      </x:c>
      <x:c r="S397" s="12" t="n">
        <x:f>B397*'Dashboard'!$B$11</x:f>
        <x:v>7</x:v>
      </x:c>
      <x:c r="T397" s="10" t="n">
        <x:f>S397*'Dashboard'!$D$11</x:f>
        <x:v>0.14</x:v>
      </x:c>
      <x:c r="U397" s="7" t="str">
        <x:v>Ambiguous acronym; only target with hydraulic, brand or product qualifier.</x:v>
      </x:c>
    </x:row>
    <x:row r="398" ht="19" customHeight="1">
      <x:c r="A398" s="7" t="str">
        <x:v>caterpillar replacement</x:v>
      </x:c>
      <x:c r="B398" s="8" t="n">
        <x:v>50</x:v>
      </x:c>
      <x:c r="C398" s="9" t="n">
        <x:v>0</x:v>
      </x:c>
      <x:c r="D398" s="10" t="n">
        <x:v>0.19</x:v>
      </x:c>
      <x:c r="E398" s="8" t="n">
        <x:v>10</x:v>
      </x:c>
      <x:c r="F398" s="11" t="n">
        <x:v>-0.8064516129032258</x:v>
      </x:c>
      <x:c r="G398" s="7" t="str">
        <x:v>Commercial</x:v>
      </x:c>
      <x:c r="H398" s="7" t="str">
        <x:v>Replacement &amp; Cross-reference</x:v>
      </x:c>
      <x:c r="I398" s="7" t="n">
        <x:v>2</x:v>
      </x:c>
      <x:c r="J398" s="7" t="str"/>
      <x:c r="K398" s="7" t="str">
        <x:v>Gap</x:v>
      </x:c>
      <x:c r="L398" s="7" t="str">
        <x:v>Exclude / qualify</x:v>
      </x:c>
      <x:c r="M398" s="7" t="str">
        <x:v>Alternative / cross-reference</x:v>
      </x:c>
      <x:c r="N398" s="7" t="n">
        <x:v>1</x:v>
      </x:c>
      <x:c r="O398" s="7" t="n">
        <x:f>IF(B398&gt;=1000,5,IF(B398&gt;=300,4,IF(B398&gt;=100,3,IF(B398&gt;=30,2,IF(B398&gt;=10,1,0)))))</x:f>
        <x:v>2</x:v>
      </x:c>
      <x:c r="P398" s="7" t="n">
        <x:f>IF(C398&gt;=5,4,IF(C398&gt;=2,3,IF(C398&gt;=1,2,IF(C398&gt;0,1,0))))</x:f>
        <x:v>0</x:v>
      </x:c>
      <x:c r="Q398" s="7" t="n">
        <x:f>N398*2+O398+P398+IF(F398&gt;=0.2,1,0)+IF(K398="Gap",2,0)-IF(I398&lt;=2,5,0)</x:f>
        <x:v>1</x:v>
      </x:c>
      <x:c r="R398" s="7" t="str">
        <x:f>IF(I398&lt;=2,"D",IF(Q398&gt;=15,"A",IF(Q398&gt;=11,"B",IF(Q398&gt;=7,"C","D"))))</x:f>
        <x:v>D</x:v>
      </x:c>
      <x:c r="S398" s="12" t="n">
        <x:f>B398*'Dashboard'!$B$11</x:f>
        <x:v>5</x:v>
      </x:c>
      <x:c r="T398" s="10" t="n">
        <x:f>S398*'Dashboard'!$D$11</x:f>
        <x:v>0.1</x:v>
      </x:c>
      <x:c r="U398" s="7" t="str">
        <x:v>Broad brand term; narrow to a hydraulic product, series or exact part.</x:v>
      </x:c>
    </x:row>
    <x:row r="399" ht="19" customHeight="1">
      <x:c r="A399" s="7" t="str">
        <x:v>linde parts</x:v>
      </x:c>
      <x:c r="B399" s="8" t="n">
        <x:v>40</x:v>
      </x:c>
      <x:c r="C399" s="9" t="n">
        <x:v>1.8</x:v>
      </x:c>
      <x:c r="D399" s="10" t="n">
        <x:v>0.39</x:v>
      </x:c>
      <x:c r="E399" s="8" t="n">
        <x:v>20</x:v>
      </x:c>
      <x:c r="F399" s="11" t="n">
        <x:v>-0.4146341463414634</x:v>
      </x:c>
      <x:c r="G399" s="7" t="str">
        <x:v>Commercial</x:v>
      </x:c>
      <x:c r="H399" s="7" t="str">
        <x:v>Brand Coverage</x:v>
      </x:c>
      <x:c r="I399" s="7" t="n">
        <x:v>2</x:v>
      </x:c>
      <x:c r="J399" s="7" t="str">
        <x:v>/brands/linde/</x:v>
      </x:c>
      <x:c r="K399" s="7" t="str">
        <x:v>Covered</x:v>
      </x:c>
      <x:c r="L399" s="7" t="str">
        <x:v>Exclude / qualify</x:v>
      </x:c>
      <x:c r="M399" s="7" t="str">
        <x:v>Brand hub</x:v>
      </x:c>
      <x:c r="N399" s="7" t="n">
        <x:v>1</x:v>
      </x:c>
      <x:c r="O399" s="7" t="n">
        <x:f>IF(B399&gt;=1000,5,IF(B399&gt;=300,4,IF(B399&gt;=100,3,IF(B399&gt;=30,2,IF(B399&gt;=10,1,0)))))</x:f>
        <x:v>2</x:v>
      </x:c>
      <x:c r="P399" s="7" t="n">
        <x:f>IF(C399&gt;=5,4,IF(C399&gt;=2,3,IF(C399&gt;=1,2,IF(C399&gt;0,1,0))))</x:f>
        <x:v>2</x:v>
      </x:c>
      <x:c r="Q399" s="7" t="n">
        <x:f>N399*2+O399+P399+IF(F399&gt;=0.2,1,0)+IF(K399="Gap",2,0)-IF(I399&lt;=2,5,0)</x:f>
        <x:v>1</x:v>
      </x:c>
      <x:c r="R399" s="7" t="str">
        <x:f>IF(I399&lt;=2,"D",IF(Q399&gt;=15,"A",IF(Q399&gt;=11,"B",IF(Q399&gt;=7,"C","D"))))</x:f>
        <x:v>D</x:v>
      </x:c>
      <x:c r="S399" s="12" t="n">
        <x:f>B399*'Dashboard'!$B$11</x:f>
        <x:v>4</x:v>
      </x:c>
      <x:c r="T399" s="10" t="n">
        <x:f>S399*'Dashboard'!$D$11</x:f>
        <x:v>0.08</x:v>
      </x:c>
      <x:c r="U399" s="7" t="str">
        <x:v>Broad brand term; narrow to a hydraulic product, series or exact part.</x:v>
      </x:c>
    </x:row>
    <x:row r="400" ht="19" customHeight="1">
      <x:c r="A400" s="7" t="str">
        <x:v>poclain parts</x:v>
      </x:c>
      <x:c r="B400" s="8" t="n">
        <x:v>40</x:v>
      </x:c>
      <x:c r="C400" s="9" t="n">
        <x:v>1.23</x:v>
      </x:c>
      <x:c r="D400" s="10" t="n">
        <x:v>0.92</x:v>
      </x:c>
      <x:c r="E400" s="8" t="n">
        <x:v>30</x:v>
      </x:c>
      <x:c r="F400" s="11" t="n">
        <x:v>-0.29411764705882354</x:v>
      </x:c>
      <x:c r="G400" s="7" t="str">
        <x:v>Commercial</x:v>
      </x:c>
      <x:c r="H400" s="7" t="str">
        <x:v>Brand Coverage</x:v>
      </x:c>
      <x:c r="I400" s="7" t="n">
        <x:v>2</x:v>
      </x:c>
      <x:c r="J400" s="7" t="str">
        <x:v>/brands/poclain/</x:v>
      </x:c>
      <x:c r="K400" s="7" t="str">
        <x:v>Covered</x:v>
      </x:c>
      <x:c r="L400" s="7" t="str">
        <x:v>Exclude / qualify</x:v>
      </x:c>
      <x:c r="M400" s="7" t="str">
        <x:v>Brand hub</x:v>
      </x:c>
      <x:c r="N400" s="7" t="n">
        <x:v>1</x:v>
      </x:c>
      <x:c r="O400" s="7" t="n">
        <x:f>IF(B400&gt;=1000,5,IF(B400&gt;=300,4,IF(B400&gt;=100,3,IF(B400&gt;=30,2,IF(B400&gt;=10,1,0)))))</x:f>
        <x:v>2</x:v>
      </x:c>
      <x:c r="P400" s="7" t="n">
        <x:f>IF(C400&gt;=5,4,IF(C400&gt;=2,3,IF(C400&gt;=1,2,IF(C400&gt;0,1,0))))</x:f>
        <x:v>2</x:v>
      </x:c>
      <x:c r="Q400" s="7" t="n">
        <x:f>N400*2+O400+P400+IF(F400&gt;=0.2,1,0)+IF(K400="Gap",2,0)-IF(I400&lt;=2,5,0)</x:f>
        <x:v>1</x:v>
      </x:c>
      <x:c r="R400" s="7" t="str">
        <x:f>IF(I400&lt;=2,"D",IF(Q400&gt;=15,"A",IF(Q400&gt;=11,"B",IF(Q400&gt;=7,"C","D"))))</x:f>
        <x:v>D</x:v>
      </x:c>
      <x:c r="S400" s="12" t="n">
        <x:f>B400*'Dashboard'!$B$11</x:f>
        <x:v>4</x:v>
      </x:c>
      <x:c r="T400" s="10" t="n">
        <x:f>S400*'Dashboard'!$D$11</x:f>
        <x:v>0.08</x:v>
      </x:c>
      <x:c r="U400" s="7" t="str">
        <x:v>Broad brand term; narrow to a hydraulic product, series or exact part.</x:v>
      </x:c>
    </x:row>
    <x:row r="401" ht="19" customHeight="1">
      <x:c r="A401" s="7" t="str">
        <x:v>moog parts</x:v>
      </x:c>
      <x:c r="B401" s="8" t="n">
        <x:v>30</x:v>
      </x:c>
      <x:c r="C401" s="9" t="n">
        <x:v>0.29</x:v>
      </x:c>
      <x:c r="D401" s="10" t="n">
        <x:v>0.61</x:v>
      </x:c>
      <x:c r="E401" s="8" t="n">
        <x:v>40</x:v>
      </x:c>
      <x:c r="F401" s="11" t="n">
        <x:v>0.26315789473684204</x:v>
      </x:c>
      <x:c r="G401" s="7" t="str">
        <x:v>Commercial</x:v>
      </x:c>
      <x:c r="H401" s="7" t="str">
        <x:v>Brand Coverage</x:v>
      </x:c>
      <x:c r="I401" s="7" t="n">
        <x:v>2</x:v>
      </x:c>
      <x:c r="J401" s="7" t="str">
        <x:v>/brands/moog/</x:v>
      </x:c>
      <x:c r="K401" s="7" t="str">
        <x:v>Covered</x:v>
      </x:c>
      <x:c r="L401" s="7" t="str">
        <x:v>Exclude / qualify</x:v>
      </x:c>
      <x:c r="M401" s="7" t="str">
        <x:v>Brand hub</x:v>
      </x:c>
      <x:c r="N401" s="7" t="n">
        <x:v>1</x:v>
      </x:c>
      <x:c r="O401" s="7" t="n">
        <x:f>IF(B401&gt;=1000,5,IF(B401&gt;=300,4,IF(B401&gt;=100,3,IF(B401&gt;=30,2,IF(B401&gt;=10,1,0)))))</x:f>
        <x:v>2</x:v>
      </x:c>
      <x:c r="P401" s="7" t="n">
        <x:f>IF(C401&gt;=5,4,IF(C401&gt;=2,3,IF(C401&gt;=1,2,IF(C401&gt;0,1,0))))</x:f>
        <x:v>1</x:v>
      </x:c>
      <x:c r="Q401" s="7" t="n">
        <x:f>N401*2+O401+P401+IF(F401&gt;=0.2,1,0)+IF(K401="Gap",2,0)-IF(I401&lt;=2,5,0)</x:f>
        <x:v>1</x:v>
      </x:c>
      <x:c r="R401" s="7" t="str">
        <x:f>IF(I401&lt;=2,"D",IF(Q401&gt;=15,"A",IF(Q401&gt;=11,"B",IF(Q401&gt;=7,"C","D"))))</x:f>
        <x:v>D</x:v>
      </x:c>
      <x:c r="S401" s="12" t="n">
        <x:f>B401*'Dashboard'!$B$11</x:f>
        <x:v>3</x:v>
      </x:c>
      <x:c r="T401" s="10" t="n">
        <x:f>S401*'Dashboard'!$D$11</x:f>
        <x:v>0.06</x:v>
      </x:c>
      <x:c r="U401" s="7" t="str">
        <x:v>Broad brand term; narrow to a hydraulic product, series or exact part.</x:v>
      </x:c>
    </x:row>
    <x:row r="402" ht="19" customHeight="1">
      <x:c r="A402" s="7" t="str">
        <x:v>t5d</x:v>
      </x:c>
      <x:c r="B402" s="8" t="n">
        <x:v>30</x:v>
      </x:c>
      <x:c r="C402" s="9" t="n">
        <x:v>0</x:v>
      </x:c>
      <x:c r="D402" s="10" t="n">
        <x:v>0.05</x:v>
      </x:c>
      <x:c r="E402" s="8" t="n">
        <x:v>40</x:v>
      </x:c>
      <x:c r="F402" s="11" t="n">
        <x:v>0.23076923076923078</x:v>
      </x:c>
      <x:c r="G402" s="7" t="str">
        <x:v>Product research</x:v>
      </x:c>
      <x:c r="H402" s="7" t="str">
        <x:v>Technical / Other</x:v>
      </x:c>
      <x:c r="I402" s="7" t="n">
        <x:v>1</x:v>
      </x:c>
      <x:c r="J402" s="7" t="str">
        <x:v>/series/t5d/</x:v>
      </x:c>
      <x:c r="K402" s="7" t="str">
        <x:v>Covered</x:v>
      </x:c>
      <x:c r="L402" s="7" t="str">
        <x:v>Exclude / qualify</x:v>
      </x:c>
      <x:c r="M402" s="7" t="str">
        <x:v>Series hub</x:v>
      </x:c>
      <x:c r="N402" s="7" t="n">
        <x:v>1</x:v>
      </x:c>
      <x:c r="O402" s="7" t="n">
        <x:f>IF(B402&gt;=1000,5,IF(B402&gt;=300,4,IF(B402&gt;=100,3,IF(B402&gt;=30,2,IF(B402&gt;=10,1,0)))))</x:f>
        <x:v>2</x:v>
      </x:c>
      <x:c r="P402" s="7" t="n">
        <x:f>IF(C402&gt;=5,4,IF(C402&gt;=2,3,IF(C402&gt;=1,2,IF(C402&gt;0,1,0))))</x:f>
        <x:v>0</x:v>
      </x:c>
      <x:c r="Q402" s="7" t="n">
        <x:f>N402*2+O402+P402+IF(F402&gt;=0.2,1,0)+IF(K402="Gap",2,0)-IF(I402&lt;=2,5,0)</x:f>
        <x:v>0</x:v>
      </x:c>
      <x:c r="R402" s="7" t="str">
        <x:f>IF(I402&lt;=2,"D",IF(Q402&gt;=15,"A",IF(Q402&gt;=11,"B",IF(Q402&gt;=7,"C","D"))))</x:f>
        <x:v>D</x:v>
      </x:c>
      <x:c r="S402" s="12" t="n">
        <x:f>B402*'Dashboard'!$B$11</x:f>
        <x:v>3</x:v>
      </x:c>
      <x:c r="T402" s="10" t="n">
        <x:f>S402*'Dashboard'!$D$11</x:f>
        <x:v>0.06</x:v>
      </x:c>
      <x:c r="U402" s="7" t="str">
        <x:v>Ambiguous acronym; only target with hydraulic, brand or product qualifier.</x:v>
      </x:c>
    </x:row>
    <x:row r="403" ht="19" customHeight="1">
      <x:c r="A403" s="7" t="str">
        <x:v>hydac parts</x:v>
      </x:c>
      <x:c r="B403" s="8" t="n">
        <x:v>20</x:v>
      </x:c>
      <x:c r="C403" s="9" t="n">
        <x:v>1.02</x:v>
      </x:c>
      <x:c r="D403" s="10" t="n">
        <x:v>0.72</x:v>
      </x:c>
      <x:c r="E403" s="8" t="n">
        <x:v>10</x:v>
      </x:c>
      <x:c r="F403" s="11" t="n">
        <x:v>-0.5</x:v>
      </x:c>
      <x:c r="G403" s="7" t="str">
        <x:v>Commercial</x:v>
      </x:c>
      <x:c r="H403" s="7" t="str">
        <x:v>Brand Coverage</x:v>
      </x:c>
      <x:c r="I403" s="7" t="n">
        <x:v>2</x:v>
      </x:c>
      <x:c r="J403" s="7" t="str">
        <x:v>/brands/hydac/</x:v>
      </x:c>
      <x:c r="K403" s="7" t="str">
        <x:v>Covered</x:v>
      </x:c>
      <x:c r="L403" s="7" t="str">
        <x:v>Exclude / qualify</x:v>
      </x:c>
      <x:c r="M403" s="7" t="str">
        <x:v>Brand hub</x:v>
      </x:c>
      <x:c r="N403" s="7" t="n">
        <x:v>1</x:v>
      </x:c>
      <x:c r="O403" s="7" t="n">
        <x:f>IF(B403&gt;=1000,5,IF(B403&gt;=300,4,IF(B403&gt;=100,3,IF(B403&gt;=30,2,IF(B403&gt;=10,1,0)))))</x:f>
        <x:v>1</x:v>
      </x:c>
      <x:c r="P403" s="7" t="n">
        <x:f>IF(C403&gt;=5,4,IF(C403&gt;=2,3,IF(C403&gt;=1,2,IF(C403&gt;0,1,0))))</x:f>
        <x:v>2</x:v>
      </x:c>
      <x:c r="Q403" s="7" t="n">
        <x:f>N403*2+O403+P403+IF(F403&gt;=0.2,1,0)+IF(K403="Gap",2,0)-IF(I403&lt;=2,5,0)</x:f>
        <x:v>0</x:v>
      </x:c>
      <x:c r="R403" s="7" t="str">
        <x:f>IF(I403&lt;=2,"D",IF(Q403&gt;=15,"A",IF(Q403&gt;=11,"B",IF(Q403&gt;=7,"C","D"))))</x:f>
        <x:v>D</x:v>
      </x:c>
      <x:c r="S403" s="12" t="n">
        <x:f>B403*'Dashboard'!$B$11</x:f>
        <x:v>2</x:v>
      </x:c>
      <x:c r="T403" s="10" t="n">
        <x:f>S403*'Dashboard'!$D$11</x:f>
        <x:v>0.04</x:v>
      </x:c>
      <x:c r="U403" s="7" t="str">
        <x:v>Broad brand term; narrow to a hydraulic product, series or exact part.</x:v>
      </x:c>
    </x:row>
    <x:row r="404" ht="19" customHeight="1">
      <x:c r="A404" s="7" t="str">
        <x:v>d1vw</x:v>
      </x:c>
      <x:c r="B404" s="8" t="n">
        <x:v>40</x:v>
      </x:c>
      <x:c r="C404" s="9" t="n">
        <x:v>0</x:v>
      </x:c>
      <x:c r="D404" s="10" t="n">
        <x:v>0.17</x:v>
      </x:c>
      <x:c r="E404" s="8" t="n">
        <x:v>30</x:v>
      </x:c>
      <x:c r="F404" s="11" t="n">
        <x:v>-0.2653061224489796</x:v>
      </x:c>
      <x:c r="G404" s="7" t="str">
        <x:v>Product research</x:v>
      </x:c>
      <x:c r="H404" s="7" t="str">
        <x:v>Hydraulic Valves</x:v>
      </x:c>
      <x:c r="I404" s="7" t="n">
        <x:v>1</x:v>
      </x:c>
      <x:c r="J404" s="7" t="str">
        <x:v>/series/d1vw/</x:v>
      </x:c>
      <x:c r="K404" s="7" t="str">
        <x:v>Covered</x:v>
      </x:c>
      <x:c r="L404" s="7" t="str">
        <x:v>Exclude / qualify</x:v>
      </x:c>
      <x:c r="M404" s="7" t="str">
        <x:v>Series hub</x:v>
      </x:c>
      <x:c r="N404" s="7" t="n">
        <x:v>1</x:v>
      </x:c>
      <x:c r="O404" s="7" t="n">
        <x:f>IF(B404&gt;=1000,5,IF(B404&gt;=300,4,IF(B404&gt;=100,3,IF(B404&gt;=30,2,IF(B404&gt;=10,1,0)))))</x:f>
        <x:v>2</x:v>
      </x:c>
      <x:c r="P404" s="7" t="n">
        <x:f>IF(C404&gt;=5,4,IF(C404&gt;=2,3,IF(C404&gt;=1,2,IF(C404&gt;0,1,0))))</x:f>
        <x:v>0</x:v>
      </x:c>
      <x:c r="Q404" s="7" t="n">
        <x:f>N404*2+O404+P404+IF(F404&gt;=0.2,1,0)+IF(K404="Gap",2,0)-IF(I404&lt;=2,5,0)</x:f>
        <x:v>-1</x:v>
      </x:c>
      <x:c r="R404" s="7" t="str">
        <x:f>IF(I404&lt;=2,"D",IF(Q404&gt;=15,"A",IF(Q404&gt;=11,"B",IF(Q404&gt;=7,"C","D"))))</x:f>
        <x:v>D</x:v>
      </x:c>
      <x:c r="S404" s="12" t="n">
        <x:f>B404*'Dashboard'!$B$11</x:f>
        <x:v>4</x:v>
      </x:c>
      <x:c r="T404" s="10" t="n">
        <x:f>S404*'Dashboard'!$D$11</x:f>
        <x:v>0.08</x:v>
      </x:c>
      <x:c r="U404" s="7" t="str">
        <x:v>Ambiguous acronym; only target with hydraulic, brand or product qualifier.</x:v>
      </x:c>
    </x:row>
    <x:row r="405" ht="19" customHeight="1">
      <x:c r="A405" s="7" t="str">
        <x:v>a10v</x:v>
      </x:c>
      <x:c r="B405" s="8" t="n">
        <x:v>10</x:v>
      </x:c>
      <x:c r="C405" s="9" t="n">
        <x:v>0</x:v>
      </x:c>
      <x:c r="D405" s="10" t="n">
        <x:v>0.21</x:v>
      </x:c>
      <x:c r="E405" s="8" t="n">
        <x:v>20</x:v>
      </x:c>
      <x:c r="F405" s="11" t="n">
        <x:v>0.411764705882353</x:v>
      </x:c>
      <x:c r="G405" s="7" t="str">
        <x:v>Product research</x:v>
      </x:c>
      <x:c r="H405" s="7" t="str">
        <x:v>Hydraulic Pumps</x:v>
      </x:c>
      <x:c r="I405" s="7" t="n">
        <x:v>1</x:v>
      </x:c>
      <x:c r="J405" s="7" t="str">
        <x:v>/series/a10v/</x:v>
      </x:c>
      <x:c r="K405" s="7" t="str">
        <x:v>Covered</x:v>
      </x:c>
      <x:c r="L405" s="7" t="str">
        <x:v>Exclude / qualify</x:v>
      </x:c>
      <x:c r="M405" s="7" t="str">
        <x:v>Series hub</x:v>
      </x:c>
      <x:c r="N405" s="7" t="n">
        <x:v>1</x:v>
      </x:c>
      <x:c r="O405" s="7" t="n">
        <x:f>IF(B405&gt;=1000,5,IF(B405&gt;=300,4,IF(B405&gt;=100,3,IF(B405&gt;=30,2,IF(B405&gt;=10,1,0)))))</x:f>
        <x:v>1</x:v>
      </x:c>
      <x:c r="P405" s="7" t="n">
        <x:f>IF(C405&gt;=5,4,IF(C405&gt;=2,3,IF(C405&gt;=1,2,IF(C405&gt;0,1,0))))</x:f>
        <x:v>0</x:v>
      </x:c>
      <x:c r="Q405" s="7" t="n">
        <x:f>N405*2+O405+P405+IF(F405&gt;=0.2,1,0)+IF(K405="Gap",2,0)-IF(I405&lt;=2,5,0)</x:f>
        <x:v>-1</x:v>
      </x:c>
      <x:c r="R405" s="7" t="str">
        <x:f>IF(I405&lt;=2,"D",IF(Q405&gt;=15,"A",IF(Q405&gt;=11,"B",IF(Q405&gt;=7,"C","D"))))</x:f>
        <x:v>D</x:v>
      </x:c>
      <x:c r="S405" s="12" t="n">
        <x:f>B405*'Dashboard'!$B$11</x:f>
        <x:v>1</x:v>
      </x:c>
      <x:c r="T405" s="10" t="n">
        <x:f>S405*'Dashboard'!$D$11</x:f>
        <x:v>0.02</x:v>
      </x:c>
      <x:c r="U405" s="7" t="str">
        <x:v>Ambiguous acronym; only target with hydraulic, brand or product qualifier.</x:v>
      </x:c>
    </x:row>
    <x:row r="406" ht="19" customHeight="1">
      <x:c r="A406" s="7" t="str">
        <x:v>bucher parts</x:v>
      </x:c>
      <x:c r="B406" s="8" t="n">
        <x:v>10</x:v>
      </x:c>
      <x:c r="C406" s="9" t="n">
        <x:v>0</x:v>
      </x:c>
      <x:c r="D406" s="10" t="n">
        <x:v>0.09</x:v>
      </x:c>
      <x:c r="E406" s="8" t="n">
        <x:v>10</x:v>
      </x:c>
      <x:c r="F406" s="11" t="n">
        <x:v>0</x:v>
      </x:c>
      <x:c r="G406" s="7" t="str">
        <x:v>Commercial</x:v>
      </x:c>
      <x:c r="H406" s="7" t="str">
        <x:v>Brand Coverage</x:v>
      </x:c>
      <x:c r="I406" s="7" t="n">
        <x:v>2</x:v>
      </x:c>
      <x:c r="J406" s="7" t="str">
        <x:v>/brands/bucher/</x:v>
      </x:c>
      <x:c r="K406" s="7" t="str">
        <x:v>Covered</x:v>
      </x:c>
      <x:c r="L406" s="7" t="str">
        <x:v>Exclude / qualify</x:v>
      </x:c>
      <x:c r="M406" s="7" t="str">
        <x:v>Brand hub</x:v>
      </x:c>
      <x:c r="N406" s="7" t="n">
        <x:v>1</x:v>
      </x:c>
      <x:c r="O406" s="7" t="n">
        <x:f>IF(B406&gt;=1000,5,IF(B406&gt;=300,4,IF(B406&gt;=100,3,IF(B406&gt;=30,2,IF(B406&gt;=10,1,0)))))</x:f>
        <x:v>1</x:v>
      </x:c>
      <x:c r="P406" s="7" t="n">
        <x:f>IF(C406&gt;=5,4,IF(C406&gt;=2,3,IF(C406&gt;=1,2,IF(C406&gt;0,1,0))))</x:f>
        <x:v>0</x:v>
      </x:c>
      <x:c r="Q406" s="7" t="n">
        <x:f>N406*2+O406+P406+IF(F406&gt;=0.2,1,0)+IF(K406="Gap",2,0)-IF(I406&lt;=2,5,0)</x:f>
        <x:v>-2</x:v>
      </x:c>
      <x:c r="R406" s="7" t="str">
        <x:f>IF(I406&lt;=2,"D",IF(Q406&gt;=15,"A",IF(Q406&gt;=11,"B",IF(Q406&gt;=7,"C","D"))))</x:f>
        <x:v>D</x:v>
      </x:c>
      <x:c r="S406" s="12" t="n">
        <x:f>B406*'Dashboard'!$B$11</x:f>
        <x:v>1</x:v>
      </x:c>
      <x:c r="T406" s="10" t="n">
        <x:f>S406*'Dashboard'!$D$11</x:f>
        <x:v>0.02</x:v>
      </x:c>
      <x:c r="U406" s="7" t="str">
        <x:v>Broad brand term; narrow to a hydraulic product, series or exact part.</x:v>
      </x:c>
    </x:row>
    <x:row r="407" ht="19" customHeight="1">
      <x:c r="A407" s="7" t="str">
        <x:v>casappa parts</x:v>
      </x:c>
      <x:c r="B407" s="8" t="n">
        <x:v>10</x:v>
      </x:c>
      <x:c r="C407" s="9" t="n">
        <x:v>0</x:v>
      </x:c>
      <x:c r="D407" s="10" t="n">
        <x:v>0.62</x:v>
      </x:c>
      <x:c r="E407" s="8" t="n">
        <x:v>10</x:v>
      </x:c>
      <x:c r="F407" s="11" t="n">
        <x:v>-0.07692307692307697</x:v>
      </x:c>
      <x:c r="G407" s="7" t="str">
        <x:v>Commercial</x:v>
      </x:c>
      <x:c r="H407" s="7" t="str">
        <x:v>Brand Coverage</x:v>
      </x:c>
      <x:c r="I407" s="7" t="n">
        <x:v>2</x:v>
      </x:c>
      <x:c r="J407" s="7" t="str">
        <x:v>/brands/casappa/</x:v>
      </x:c>
      <x:c r="K407" s="7" t="str">
        <x:v>Covered</x:v>
      </x:c>
      <x:c r="L407" s="7" t="str">
        <x:v>Exclude / qualify</x:v>
      </x:c>
      <x:c r="M407" s="7" t="str">
        <x:v>Brand hub</x:v>
      </x:c>
      <x:c r="N407" s="7" t="n">
        <x:v>1</x:v>
      </x:c>
      <x:c r="O407" s="7" t="n">
        <x:f>IF(B407&gt;=1000,5,IF(B407&gt;=300,4,IF(B407&gt;=100,3,IF(B407&gt;=30,2,IF(B407&gt;=10,1,0)))))</x:f>
        <x:v>1</x:v>
      </x:c>
      <x:c r="P407" s="7" t="n">
        <x:f>IF(C407&gt;=5,4,IF(C407&gt;=2,3,IF(C407&gt;=1,2,IF(C407&gt;0,1,0))))</x:f>
        <x:v>0</x:v>
      </x:c>
      <x:c r="Q407" s="7" t="n">
        <x:f>N407*2+O407+P407+IF(F407&gt;=0.2,1,0)+IF(K407="Gap",2,0)-IF(I407&lt;=2,5,0)</x:f>
        <x:v>-2</x:v>
      </x:c>
      <x:c r="R407" s="7" t="str">
        <x:f>IF(I407&lt;=2,"D",IF(Q407&gt;=15,"A",IF(Q407&gt;=11,"B",IF(Q407&gt;=7,"C","D"))))</x:f>
        <x:v>D</x:v>
      </x:c>
      <x:c r="S407" s="12" t="n">
        <x:f>B407*'Dashboard'!$B$11</x:f>
        <x:v>1</x:v>
      </x:c>
      <x:c r="T407" s="10" t="n">
        <x:f>S407*'Dashboard'!$D$11</x:f>
        <x:v>0.02</x:v>
      </x:c>
      <x:c r="U407" s="7" t="str">
        <x:v>Broad brand term; narrow to a hydraulic product, series or exact part.</x:v>
      </x:c>
    </x:row>
    <x:row r="408" ht="19" customHeight="1">
      <x:c r="A408" s="7" t="str">
        <x:v>denison parts</x:v>
      </x:c>
      <x:c r="B408" s="8" t="n">
        <x:v>10</x:v>
      </x:c>
      <x:c r="C408" s="9" t="n">
        <x:v>0</x:v>
      </x:c>
      <x:c r="D408" s="10" t="n">
        <x:v>0.35</x:v>
      </x:c>
      <x:c r="E408" s="8" t="n">
        <x:v>10</x:v>
      </x:c>
      <x:c r="F408" s="11" t="n">
        <x:v>0</x:v>
      </x:c>
      <x:c r="G408" s="7" t="str">
        <x:v>Commercial</x:v>
      </x:c>
      <x:c r="H408" s="7" t="str">
        <x:v>Brand Coverage</x:v>
      </x:c>
      <x:c r="I408" s="7" t="n">
        <x:v>2</x:v>
      </x:c>
      <x:c r="J408" s="7" t="str">
        <x:v>/brands/denison/</x:v>
      </x:c>
      <x:c r="K408" s="7" t="str">
        <x:v>Covered</x:v>
      </x:c>
      <x:c r="L408" s="7" t="str">
        <x:v>Exclude / qualify</x:v>
      </x:c>
      <x:c r="M408" s="7" t="str">
        <x:v>Brand hub</x:v>
      </x:c>
      <x:c r="N408" s="7" t="n">
        <x:v>1</x:v>
      </x:c>
      <x:c r="O408" s="7" t="n">
        <x:f>IF(B408&gt;=1000,5,IF(B408&gt;=300,4,IF(B408&gt;=100,3,IF(B408&gt;=30,2,IF(B408&gt;=10,1,0)))))</x:f>
        <x:v>1</x:v>
      </x:c>
      <x:c r="P408" s="7" t="n">
        <x:f>IF(C408&gt;=5,4,IF(C408&gt;=2,3,IF(C408&gt;=1,2,IF(C408&gt;0,1,0))))</x:f>
        <x:v>0</x:v>
      </x:c>
      <x:c r="Q408" s="7" t="n">
        <x:f>N408*2+O408+P408+IF(F408&gt;=0.2,1,0)+IF(K408="Gap",2,0)-IF(I408&lt;=2,5,0)</x:f>
        <x:v>-2</x:v>
      </x:c>
      <x:c r="R408" s="7" t="str">
        <x:f>IF(I408&lt;=2,"D",IF(Q408&gt;=15,"A",IF(Q408&gt;=11,"B",IF(Q408&gt;=7,"C","D"))))</x:f>
        <x:v>D</x:v>
      </x:c>
      <x:c r="S408" s="12" t="n">
        <x:f>B408*'Dashboard'!$B$11</x:f>
        <x:v>1</x:v>
      </x:c>
      <x:c r="T408" s="10" t="n">
        <x:f>S408*'Dashboard'!$D$11</x:f>
        <x:v>0.02</x:v>
      </x:c>
      <x:c r="U408" s="7" t="str">
        <x:v>Broad brand term; narrow to a hydraulic product, series or exact part.</x:v>
      </x:c>
    </x:row>
    <x:row r="409" ht="19" customHeight="1">
      <x:c r="A409" s="7" t="str">
        <x:v>hawe parts</x:v>
      </x:c>
      <x:c r="B409" s="8" t="n">
        <x:v>10</x:v>
      </x:c>
      <x:c r="C409" s="9" t="n">
        <x:v>0</x:v>
      </x:c>
      <x:c r="D409" s="10" t="n">
        <x:v>0.12</x:v>
      </x:c>
      <x:c r="E409" s="8" t="n">
        <x:v>10</x:v>
      </x:c>
      <x:c r="F409" s="11" t="n">
        <x:v>0.09090909090909098</x:v>
      </x:c>
      <x:c r="G409" s="7" t="str">
        <x:v>Commercial</x:v>
      </x:c>
      <x:c r="H409" s="7" t="str">
        <x:v>Brand Coverage</x:v>
      </x:c>
      <x:c r="I409" s="7" t="n">
        <x:v>2</x:v>
      </x:c>
      <x:c r="J409" s="7" t="str">
        <x:v>/brands/hawe/</x:v>
      </x:c>
      <x:c r="K409" s="7" t="str">
        <x:v>Covered</x:v>
      </x:c>
      <x:c r="L409" s="7" t="str">
        <x:v>Exclude / qualify</x:v>
      </x:c>
      <x:c r="M409" s="7" t="str">
        <x:v>Brand hub</x:v>
      </x:c>
      <x:c r="N409" s="7" t="n">
        <x:v>1</x:v>
      </x:c>
      <x:c r="O409" s="7" t="n">
        <x:f>IF(B409&gt;=1000,5,IF(B409&gt;=300,4,IF(B409&gt;=100,3,IF(B409&gt;=30,2,IF(B409&gt;=10,1,0)))))</x:f>
        <x:v>1</x:v>
      </x:c>
      <x:c r="P409" s="7" t="n">
        <x:f>IF(C409&gt;=5,4,IF(C409&gt;=2,3,IF(C409&gt;=1,2,IF(C409&gt;0,1,0))))</x:f>
        <x:v>0</x:v>
      </x:c>
      <x:c r="Q409" s="7" t="n">
        <x:f>N409*2+O409+P409+IF(F409&gt;=0.2,1,0)+IF(K409="Gap",2,0)-IF(I409&lt;=2,5,0)</x:f>
        <x:v>-2</x:v>
      </x:c>
      <x:c r="R409" s="7" t="str">
        <x:f>IF(I409&lt;=2,"D",IF(Q409&gt;=15,"A",IF(Q409&gt;=11,"B",IF(Q409&gt;=7,"C","D"))))</x:f>
        <x:v>D</x:v>
      </x:c>
      <x:c r="S409" s="12" t="n">
        <x:f>B409*'Dashboard'!$B$11</x:f>
        <x:v>1</x:v>
      </x:c>
      <x:c r="T409" s="10" t="n">
        <x:f>S409*'Dashboard'!$D$11</x:f>
        <x:v>0.02</x:v>
      </x:c>
      <x:c r="U409" s="7" t="str">
        <x:v>Broad brand term; narrow to a hydraulic product, series or exact part.</x:v>
      </x:c>
    </x:row>
    <x:row r="410" ht="19" customHeight="1">
      <x:c r="A410" s="7" t="str">
        <x:v>nachi parts</x:v>
      </x:c>
      <x:c r="B410" s="8" t="n">
        <x:v>10</x:v>
      </x:c>
      <x:c r="C410" s="9" t="n">
        <x:v>0</x:v>
      </x:c>
      <x:c r="D410" s="10" t="n">
        <x:v>0</x:v>
      </x:c>
      <x:c r="E410" s="8" t="n">
        <x:v>10</x:v>
      </x:c>
      <x:c r="F410" s="11" t="n">
        <x:v>0</x:v>
      </x:c>
      <x:c r="G410" s="7" t="str">
        <x:v>Commercial</x:v>
      </x:c>
      <x:c r="H410" s="7" t="str">
        <x:v>Brand Coverage</x:v>
      </x:c>
      <x:c r="I410" s="7" t="n">
        <x:v>2</x:v>
      </x:c>
      <x:c r="J410" s="7" t="str">
        <x:v>/brands/nachi/</x:v>
      </x:c>
      <x:c r="K410" s="7" t="str">
        <x:v>Covered</x:v>
      </x:c>
      <x:c r="L410" s="7" t="str">
        <x:v>Exclude / qualify</x:v>
      </x:c>
      <x:c r="M410" s="7" t="str">
        <x:v>Brand hub</x:v>
      </x:c>
      <x:c r="N410" s="7" t="n">
        <x:v>1</x:v>
      </x:c>
      <x:c r="O410" s="7" t="n">
        <x:f>IF(B410&gt;=1000,5,IF(B410&gt;=300,4,IF(B410&gt;=100,3,IF(B410&gt;=30,2,IF(B410&gt;=10,1,0)))))</x:f>
        <x:v>1</x:v>
      </x:c>
      <x:c r="P410" s="7" t="n">
        <x:f>IF(C410&gt;=5,4,IF(C410&gt;=2,3,IF(C410&gt;=1,2,IF(C410&gt;0,1,0))))</x:f>
        <x:v>0</x:v>
      </x:c>
      <x:c r="Q410" s="7" t="n">
        <x:f>N410*2+O410+P410+IF(F410&gt;=0.2,1,0)+IF(K410="Gap",2,0)-IF(I410&lt;=2,5,0)</x:f>
        <x:v>-2</x:v>
      </x:c>
      <x:c r="R410" s="7" t="str">
        <x:f>IF(I410&lt;=2,"D",IF(Q410&gt;=15,"A",IF(Q410&gt;=11,"B",IF(Q410&gt;=7,"C","D"))))</x:f>
        <x:v>D</x:v>
      </x:c>
      <x:c r="S410" s="12" t="n">
        <x:f>B410*'Dashboard'!$B$11</x:f>
        <x:v>1</x:v>
      </x:c>
      <x:c r="T410" s="10" t="n">
        <x:f>S410*'Dashboard'!$D$11</x:f>
        <x:v>0.02</x:v>
      </x:c>
      <x:c r="U410" s="7" t="str">
        <x:v>Broad brand term; narrow to a hydraulic product, series or exact part.</x:v>
      </x:c>
    </x:row>
    <x:row r="411" ht="19" customHeight="1">
      <x:c r="A411" s="7" t="str">
        <x:v>parker replacement</x:v>
      </x:c>
      <x:c r="B411" s="8" t="n">
        <x:v>10</x:v>
      </x:c>
      <x:c r="C411" s="9" t="n">
        <x:v>0</x:v>
      </x:c>
      <x:c r="D411" s="10" t="n">
        <x:v>0</x:v>
      </x:c>
      <x:c r="E411" s="8" t="n">
        <x:v>10</x:v>
      </x:c>
      <x:c r="F411" s="11" t="n">
        <x:v>0.09090909090909098</x:v>
      </x:c>
      <x:c r="G411" s="7" t="str">
        <x:v>Commercial</x:v>
      </x:c>
      <x:c r="H411" s="7" t="str">
        <x:v>Replacement &amp; Cross-reference</x:v>
      </x:c>
      <x:c r="I411" s="7" t="n">
        <x:v>2</x:v>
      </x:c>
      <x:c r="J411" s="7" t="str">
        <x:v>/brands/parker/</x:v>
      </x:c>
      <x:c r="K411" s="7" t="str">
        <x:v>Covered</x:v>
      </x:c>
      <x:c r="L411" s="7" t="str">
        <x:v>Exclude / qualify</x:v>
      </x:c>
      <x:c r="M411" s="7" t="str">
        <x:v>Brand hub</x:v>
      </x:c>
      <x:c r="N411" s="7" t="n">
        <x:v>1</x:v>
      </x:c>
      <x:c r="O411" s="7" t="n">
        <x:f>IF(B411&gt;=1000,5,IF(B411&gt;=300,4,IF(B411&gt;=100,3,IF(B411&gt;=30,2,IF(B411&gt;=10,1,0)))))</x:f>
        <x:v>1</x:v>
      </x:c>
      <x:c r="P411" s="7" t="n">
        <x:f>IF(C411&gt;=5,4,IF(C411&gt;=2,3,IF(C411&gt;=1,2,IF(C411&gt;0,1,0))))</x:f>
        <x:v>0</x:v>
      </x:c>
      <x:c r="Q411" s="7" t="n">
        <x:f>N411*2+O411+P411+IF(F411&gt;=0.2,1,0)+IF(K411="Gap",2,0)-IF(I411&lt;=2,5,0)</x:f>
        <x:v>-2</x:v>
      </x:c>
      <x:c r="R411" s="7" t="str">
        <x:f>IF(I411&lt;=2,"D",IF(Q411&gt;=15,"A",IF(Q411&gt;=11,"B",IF(Q411&gt;=7,"C","D"))))</x:f>
        <x:v>D</x:v>
      </x:c>
      <x:c r="S411" s="12" t="n">
        <x:f>B411*'Dashboard'!$B$11</x:f>
        <x:v>1</x:v>
      </x:c>
      <x:c r="T411" s="10" t="n">
        <x:f>S411*'Dashboard'!$D$11</x:f>
        <x:v>0.02</x:v>
      </x:c>
      <x:c r="U411" s="7" t="str">
        <x:v>Broad brand term; narrow to a hydraulic product, series or exact part.</x:v>
      </x:c>
    </x:row>
    <x:row r="412" ht="19" customHeight="1">
      <x:c r="A412" s="7" t="str">
        <x:v>ap2d</x:v>
      </x:c>
      <x:c r="B412" s="8" t="n">
        <x:v>0</x:v>
      </x:c>
      <x:c r="C412" s="9" t="n">
        <x:v>0</x:v>
      </x:c>
      <x:c r="D412" s="10" t="n">
        <x:v>0</x:v>
      </x:c>
      <x:c r="E412" s="8" t="n">
        <x:v>0</x:v>
      </x:c>
      <x:c r="F412" s="11" t="n">
        <x:v>0</x:v>
      </x:c>
      <x:c r="G412" s="7" t="str">
        <x:v>Product research</x:v>
      </x:c>
      <x:c r="H412" s="7" t="str">
        <x:v>Technical / Other</x:v>
      </x:c>
      <x:c r="I412" s="7" t="n">
        <x:v>1</x:v>
      </x:c>
      <x:c r="J412" s="7" t="str">
        <x:v>/series/ap2d/</x:v>
      </x:c>
      <x:c r="K412" s="7" t="str">
        <x:v>Covered</x:v>
      </x:c>
      <x:c r="L412" s="7" t="str">
        <x:v>Exclude / qualify</x:v>
      </x:c>
      <x:c r="M412" s="7" t="str">
        <x:v>Series hub</x:v>
      </x:c>
      <x:c r="N412" s="7" t="n">
        <x:v>1</x:v>
      </x:c>
      <x:c r="O412" s="7" t="n">
        <x:f>IF(B412&gt;=1000,5,IF(B412&gt;=300,4,IF(B412&gt;=100,3,IF(B412&gt;=30,2,IF(B412&gt;=10,1,0)))))</x:f>
        <x:v>0</x:v>
      </x:c>
      <x:c r="P412" s="7" t="n">
        <x:f>IF(C412&gt;=5,4,IF(C412&gt;=2,3,IF(C412&gt;=1,2,IF(C412&gt;0,1,0))))</x:f>
        <x:v>0</x:v>
      </x:c>
      <x:c r="Q412" s="7" t="n">
        <x:f>N412*2+O412+P412+IF(F412&gt;=0.2,1,0)+IF(K412="Gap",2,0)-IF(I412&lt;=2,5,0)</x:f>
        <x:v>-3</x:v>
      </x:c>
      <x:c r="R412" s="7" t="str">
        <x:f>IF(I412&lt;=2,"D",IF(Q412&gt;=15,"A",IF(Q412&gt;=11,"B",IF(Q412&gt;=7,"C","D"))))</x:f>
        <x:v>D</x:v>
      </x:c>
      <x:c r="S412" s="12" t="n">
        <x:f>B412*'Dashboard'!$B$11</x:f>
        <x:v>0</x:v>
      </x:c>
      <x:c r="T412" s="10" t="n">
        <x:f>S412*'Dashboard'!$D$11</x:f>
        <x:v>0</x:v>
      </x:c>
      <x:c r="U412" s="7" t="str">
        <x:v>Ambiguous acronym; only target with hydraulic, brand or product qualifier.</x:v>
      </x:c>
    </x:row>
    <x:row r="413" ht="19" customHeight="1">
      <x:c r="A413" s="7" t="str">
        <x:v>bucher replacement</x:v>
      </x:c>
      <x:c r="B413" s="8" t="n">
        <x:v>0</x:v>
      </x:c>
      <x:c r="C413" s="9" t="n">
        <x:v>0</x:v>
      </x:c>
      <x:c r="D413" s="10" t="n">
        <x:v>0</x:v>
      </x:c>
      <x:c r="E413" s="8" t="n">
        <x:v>0</x:v>
      </x:c>
      <x:c r="F413" s="11" t="n">
        <x:v>0</x:v>
      </x:c>
      <x:c r="G413" s="7" t="str">
        <x:v>Commercial</x:v>
      </x:c>
      <x:c r="H413" s="7" t="str">
        <x:v>Replacement &amp; Cross-reference</x:v>
      </x:c>
      <x:c r="I413" s="7" t="n">
        <x:v>2</x:v>
      </x:c>
      <x:c r="J413" s="7" t="str">
        <x:v>/brands/bucher/</x:v>
      </x:c>
      <x:c r="K413" s="7" t="str">
        <x:v>Covered</x:v>
      </x:c>
      <x:c r="L413" s="7" t="str">
        <x:v>Exclude / qualify</x:v>
      </x:c>
      <x:c r="M413" s="7" t="str">
        <x:v>Brand hub</x:v>
      </x:c>
      <x:c r="N413" s="7" t="n">
        <x:v>1</x:v>
      </x:c>
      <x:c r="O413" s="7" t="n">
        <x:f>IF(B413&gt;=1000,5,IF(B413&gt;=300,4,IF(B413&gt;=100,3,IF(B413&gt;=30,2,IF(B413&gt;=10,1,0)))))</x:f>
        <x:v>0</x:v>
      </x:c>
      <x:c r="P413" s="7" t="n">
        <x:f>IF(C413&gt;=5,4,IF(C413&gt;=2,3,IF(C413&gt;=1,2,IF(C413&gt;0,1,0))))</x:f>
        <x:v>0</x:v>
      </x:c>
      <x:c r="Q413" s="7" t="n">
        <x:f>N413*2+O413+P413+IF(F413&gt;=0.2,1,0)+IF(K413="Gap",2,0)-IF(I413&lt;=2,5,0)</x:f>
        <x:v>-3</x:v>
      </x:c>
      <x:c r="R413" s="7" t="str">
        <x:f>IF(I413&lt;=2,"D",IF(Q413&gt;=15,"A",IF(Q413&gt;=11,"B",IF(Q413&gt;=7,"C","D"))))</x:f>
        <x:v>D</x:v>
      </x:c>
      <x:c r="S413" s="12" t="n">
        <x:f>B413*'Dashboard'!$B$11</x:f>
        <x:v>0</x:v>
      </x:c>
      <x:c r="T413" s="10" t="n">
        <x:f>S413*'Dashboard'!$D$11</x:f>
        <x:v>0</x:v>
      </x:c>
      <x:c r="U413" s="7" t="str">
        <x:v>Broad brand term; narrow to a hydraulic product, series or exact part.</x:v>
      </x:c>
    </x:row>
    <x:row r="414" ht="19" customHeight="1">
      <x:c r="A414" s="7" t="str">
        <x:v>casappa replacement</x:v>
      </x:c>
      <x:c r="B414" s="8" t="n">
        <x:v>0</x:v>
      </x:c>
      <x:c r="C414" s="9" t="n">
        <x:v>0</x:v>
      </x:c>
      <x:c r="D414" s="10" t="n">
        <x:v>0</x:v>
      </x:c>
      <x:c r="E414" s="8" t="n">
        <x:v>0</x:v>
      </x:c>
      <x:c r="F414" s="11" t="n">
        <x:v>0</x:v>
      </x:c>
      <x:c r="G414" s="7" t="str">
        <x:v>Commercial</x:v>
      </x:c>
      <x:c r="H414" s="7" t="str">
        <x:v>Replacement &amp; Cross-reference</x:v>
      </x:c>
      <x:c r="I414" s="7" t="n">
        <x:v>2</x:v>
      </x:c>
      <x:c r="J414" s="7" t="str">
        <x:v>/brands/casappa/</x:v>
      </x:c>
      <x:c r="K414" s="7" t="str">
        <x:v>Covered</x:v>
      </x:c>
      <x:c r="L414" s="7" t="str">
        <x:v>Exclude / qualify</x:v>
      </x:c>
      <x:c r="M414" s="7" t="str">
        <x:v>Brand hub</x:v>
      </x:c>
      <x:c r="N414" s="7" t="n">
        <x:v>1</x:v>
      </x:c>
      <x:c r="O414" s="7" t="n">
        <x:f>IF(B414&gt;=1000,5,IF(B414&gt;=300,4,IF(B414&gt;=100,3,IF(B414&gt;=30,2,IF(B414&gt;=10,1,0)))))</x:f>
        <x:v>0</x:v>
      </x:c>
      <x:c r="P414" s="7" t="n">
        <x:f>IF(C414&gt;=5,4,IF(C414&gt;=2,3,IF(C414&gt;=1,2,IF(C414&gt;0,1,0))))</x:f>
        <x:v>0</x:v>
      </x:c>
      <x:c r="Q414" s="7" t="n">
        <x:f>N414*2+O414+P414+IF(F414&gt;=0.2,1,0)+IF(K414="Gap",2,0)-IF(I414&lt;=2,5,0)</x:f>
        <x:v>-3</x:v>
      </x:c>
      <x:c r="R414" s="7" t="str">
        <x:f>IF(I414&lt;=2,"D",IF(Q414&gt;=15,"A",IF(Q414&gt;=11,"B",IF(Q414&gt;=7,"C","D"))))</x:f>
        <x:v>D</x:v>
      </x:c>
      <x:c r="S414" s="12" t="n">
        <x:f>B414*'Dashboard'!$B$11</x:f>
        <x:v>0</x:v>
      </x:c>
      <x:c r="T414" s="10" t="n">
        <x:f>S414*'Dashboard'!$D$11</x:f>
        <x:v>0</x:v>
      </x:c>
      <x:c r="U414" s="7" t="str">
        <x:v>Broad brand term; narrow to a hydraulic product, series or exact part.</x:v>
      </x:c>
    </x:row>
    <x:row r="415" ht="19" customHeight="1">
      <x:c r="A415" s="7" t="str">
        <x:v>denison replacement</x:v>
      </x:c>
      <x:c r="B415" s="8" t="n">
        <x:v>0</x:v>
      </x:c>
      <x:c r="C415" s="9" t="n">
        <x:v>0</x:v>
      </x:c>
      <x:c r="D415" s="10" t="n">
        <x:v>0</x:v>
      </x:c>
      <x:c r="E415" s="8" t="n">
        <x:v>0</x:v>
      </x:c>
      <x:c r="F415" s="11" t="n">
        <x:v>0</x:v>
      </x:c>
      <x:c r="G415" s="7" t="str">
        <x:v>Commercial</x:v>
      </x:c>
      <x:c r="H415" s="7" t="str">
        <x:v>Replacement &amp; Cross-reference</x:v>
      </x:c>
      <x:c r="I415" s="7" t="n">
        <x:v>2</x:v>
      </x:c>
      <x:c r="J415" s="7" t="str">
        <x:v>/brands/denison/</x:v>
      </x:c>
      <x:c r="K415" s="7" t="str">
        <x:v>Covered</x:v>
      </x:c>
      <x:c r="L415" s="7" t="str">
        <x:v>Exclude / qualify</x:v>
      </x:c>
      <x:c r="M415" s="7" t="str">
        <x:v>Brand hub</x:v>
      </x:c>
      <x:c r="N415" s="7" t="n">
        <x:v>1</x:v>
      </x:c>
      <x:c r="O415" s="7" t="n">
        <x:f>IF(B415&gt;=1000,5,IF(B415&gt;=300,4,IF(B415&gt;=100,3,IF(B415&gt;=30,2,IF(B415&gt;=10,1,0)))))</x:f>
        <x:v>0</x:v>
      </x:c>
      <x:c r="P415" s="7" t="n">
        <x:f>IF(C415&gt;=5,4,IF(C415&gt;=2,3,IF(C415&gt;=1,2,IF(C415&gt;0,1,0))))</x:f>
        <x:v>0</x:v>
      </x:c>
      <x:c r="Q415" s="7" t="n">
        <x:f>N415*2+O415+P415+IF(F415&gt;=0.2,1,0)+IF(K415="Gap",2,0)-IF(I415&lt;=2,5,0)</x:f>
        <x:v>-3</x:v>
      </x:c>
      <x:c r="R415" s="7" t="str">
        <x:f>IF(I415&lt;=2,"D",IF(Q415&gt;=15,"A",IF(Q415&gt;=11,"B",IF(Q415&gt;=7,"C","D"))))</x:f>
        <x:v>D</x:v>
      </x:c>
      <x:c r="S415" s="12" t="n">
        <x:f>B415*'Dashboard'!$B$11</x:f>
        <x:v>0</x:v>
      </x:c>
      <x:c r="T415" s="10" t="n">
        <x:f>S415*'Dashboard'!$D$11</x:f>
        <x:v>0</x:v>
      </x:c>
      <x:c r="U415" s="7" t="str">
        <x:v>Broad brand term; narrow to a hydraulic product, series or exact part.</x:v>
      </x:c>
    </x:row>
    <x:row r="416" ht="19" customHeight="1">
      <x:c r="A416" s="7" t="str">
        <x:v>hawe replacement</x:v>
      </x:c>
      <x:c r="B416" s="8" t="n">
        <x:v>0</x:v>
      </x:c>
      <x:c r="C416" s="9" t="n">
        <x:v>0</x:v>
      </x:c>
      <x:c r="D416" s="10" t="n">
        <x:v>0</x:v>
      </x:c>
      <x:c r="E416" s="8" t="n">
        <x:v>0</x:v>
      </x:c>
      <x:c r="F416" s="11" t="n">
        <x:v>0</x:v>
      </x:c>
      <x:c r="G416" s="7" t="str">
        <x:v>Commercial</x:v>
      </x:c>
      <x:c r="H416" s="7" t="str">
        <x:v>Replacement &amp; Cross-reference</x:v>
      </x:c>
      <x:c r="I416" s="7" t="n">
        <x:v>2</x:v>
      </x:c>
      <x:c r="J416" s="7" t="str">
        <x:v>/brands/hawe/</x:v>
      </x:c>
      <x:c r="K416" s="7" t="str">
        <x:v>Covered</x:v>
      </x:c>
      <x:c r="L416" s="7" t="str">
        <x:v>Exclude / qualify</x:v>
      </x:c>
      <x:c r="M416" s="7" t="str">
        <x:v>Brand hub</x:v>
      </x:c>
      <x:c r="N416" s="7" t="n">
        <x:v>1</x:v>
      </x:c>
      <x:c r="O416" s="7" t="n">
        <x:f>IF(B416&gt;=1000,5,IF(B416&gt;=300,4,IF(B416&gt;=100,3,IF(B416&gt;=30,2,IF(B416&gt;=10,1,0)))))</x:f>
        <x:v>0</x:v>
      </x:c>
      <x:c r="P416" s="7" t="n">
        <x:f>IF(C416&gt;=5,4,IF(C416&gt;=2,3,IF(C416&gt;=1,2,IF(C416&gt;0,1,0))))</x:f>
        <x:v>0</x:v>
      </x:c>
      <x:c r="Q416" s="7" t="n">
        <x:f>N416*2+O416+P416+IF(F416&gt;=0.2,1,0)+IF(K416="Gap",2,0)-IF(I416&lt;=2,5,0)</x:f>
        <x:v>-3</x:v>
      </x:c>
      <x:c r="R416" s="7" t="str">
        <x:f>IF(I416&lt;=2,"D",IF(Q416&gt;=15,"A",IF(Q416&gt;=11,"B",IF(Q416&gt;=7,"C","D"))))</x:f>
        <x:v>D</x:v>
      </x:c>
      <x:c r="S416" s="12" t="n">
        <x:f>B416*'Dashboard'!$B$11</x:f>
        <x:v>0</x:v>
      </x:c>
      <x:c r="T416" s="10" t="n">
        <x:f>S416*'Dashboard'!$D$11</x:f>
        <x:v>0</x:v>
      </x:c>
      <x:c r="U416" s="7" t="str">
        <x:v>Broad brand term; narrow to a hydraulic product, series or exact part.</x:v>
      </x:c>
    </x:row>
    <x:row r="417" ht="19" customHeight="1">
      <x:c r="A417" s="7" t="str">
        <x:v>hydac replacement</x:v>
      </x:c>
      <x:c r="B417" s="8" t="n">
        <x:v>0</x:v>
      </x:c>
      <x:c r="C417" s="9" t="n">
        <x:v>0</x:v>
      </x:c>
      <x:c r="D417" s="10" t="n">
        <x:v>0</x:v>
      </x:c>
      <x:c r="E417" s="8" t="n">
        <x:v>0</x:v>
      </x:c>
      <x:c r="F417" s="11" t="n">
        <x:v>0</x:v>
      </x:c>
      <x:c r="G417" s="7" t="str">
        <x:v>Commercial</x:v>
      </x:c>
      <x:c r="H417" s="7" t="str">
        <x:v>Replacement &amp; Cross-reference</x:v>
      </x:c>
      <x:c r="I417" s="7" t="n">
        <x:v>2</x:v>
      </x:c>
      <x:c r="J417" s="7" t="str">
        <x:v>/brands/hydac/</x:v>
      </x:c>
      <x:c r="K417" s="7" t="str">
        <x:v>Covered</x:v>
      </x:c>
      <x:c r="L417" s="7" t="str">
        <x:v>Exclude / qualify</x:v>
      </x:c>
      <x:c r="M417" s="7" t="str">
        <x:v>Brand hub</x:v>
      </x:c>
      <x:c r="N417" s="7" t="n">
        <x:v>1</x:v>
      </x:c>
      <x:c r="O417" s="7" t="n">
        <x:f>IF(B417&gt;=1000,5,IF(B417&gt;=300,4,IF(B417&gt;=100,3,IF(B417&gt;=30,2,IF(B417&gt;=10,1,0)))))</x:f>
        <x:v>0</x:v>
      </x:c>
      <x:c r="P417" s="7" t="n">
        <x:f>IF(C417&gt;=5,4,IF(C417&gt;=2,3,IF(C417&gt;=1,2,IF(C417&gt;0,1,0))))</x:f>
        <x:v>0</x:v>
      </x:c>
      <x:c r="Q417" s="7" t="n">
        <x:f>N417*2+O417+P417+IF(F417&gt;=0.2,1,0)+IF(K417="Gap",2,0)-IF(I417&lt;=2,5,0)</x:f>
        <x:v>-3</x:v>
      </x:c>
      <x:c r="R417" s="7" t="str">
        <x:f>IF(I417&lt;=2,"D",IF(Q417&gt;=15,"A",IF(Q417&gt;=11,"B",IF(Q417&gt;=7,"C","D"))))</x:f>
        <x:v>D</x:v>
      </x:c>
      <x:c r="S417" s="12" t="n">
        <x:f>B417*'Dashboard'!$B$11</x:f>
        <x:v>0</x:v>
      </x:c>
      <x:c r="T417" s="10" t="n">
        <x:f>S417*'Dashboard'!$D$11</x:f>
        <x:v>0</x:v>
      </x:c>
      <x:c r="U417" s="7" t="str">
        <x:v>Broad brand term; narrow to a hydraulic product, series or exact part.</x:v>
      </x:c>
    </x:row>
    <x:row r="418" ht="19" customHeight="1">
      <x:c r="A418" s="7" t="str">
        <x:v>kawasaki replacement</x:v>
      </x:c>
      <x:c r="B418" s="8" t="n">
        <x:v>0</x:v>
      </x:c>
      <x:c r="C418" s="9" t="n">
        <x:v>0</x:v>
      </x:c>
      <x:c r="D418" s="10" t="n">
        <x:v>0</x:v>
      </x:c>
      <x:c r="E418" s="8" t="n">
        <x:v>0</x:v>
      </x:c>
      <x:c r="F418" s="11" t="n">
        <x:v>0</x:v>
      </x:c>
      <x:c r="G418" s="7" t="str">
        <x:v>Commercial</x:v>
      </x:c>
      <x:c r="H418" s="7" t="str">
        <x:v>Replacement &amp; Cross-reference</x:v>
      </x:c>
      <x:c r="I418" s="7" t="n">
        <x:v>2</x:v>
      </x:c>
      <x:c r="J418" s="7" t="str">
        <x:v>/brands/kawasaki/</x:v>
      </x:c>
      <x:c r="K418" s="7" t="str">
        <x:v>Covered</x:v>
      </x:c>
      <x:c r="L418" s="7" t="str">
        <x:v>Exclude / qualify</x:v>
      </x:c>
      <x:c r="M418" s="7" t="str">
        <x:v>Brand hub</x:v>
      </x:c>
      <x:c r="N418" s="7" t="n">
        <x:v>1</x:v>
      </x:c>
      <x:c r="O418" s="7" t="n">
        <x:f>IF(B418&gt;=1000,5,IF(B418&gt;=300,4,IF(B418&gt;=100,3,IF(B418&gt;=30,2,IF(B418&gt;=10,1,0)))))</x:f>
        <x:v>0</x:v>
      </x:c>
      <x:c r="P418" s="7" t="n">
        <x:f>IF(C418&gt;=5,4,IF(C418&gt;=2,3,IF(C418&gt;=1,2,IF(C418&gt;0,1,0))))</x:f>
        <x:v>0</x:v>
      </x:c>
      <x:c r="Q418" s="7" t="n">
        <x:f>N418*2+O418+P418+IF(F418&gt;=0.2,1,0)+IF(K418="Gap",2,0)-IF(I418&lt;=2,5,0)</x:f>
        <x:v>-3</x:v>
      </x:c>
      <x:c r="R418" s="7" t="str">
        <x:f>IF(I418&lt;=2,"D",IF(Q418&gt;=15,"A",IF(Q418&gt;=11,"B",IF(Q418&gt;=7,"C","D"))))</x:f>
        <x:v>D</x:v>
      </x:c>
      <x:c r="S418" s="12" t="n">
        <x:f>B418*'Dashboard'!$B$11</x:f>
        <x:v>0</x:v>
      </x:c>
      <x:c r="T418" s="10" t="n">
        <x:f>S418*'Dashboard'!$D$11</x:f>
        <x:v>0</x:v>
      </x:c>
      <x:c r="U418" s="7" t="str">
        <x:v>Broad brand term; narrow to a hydraulic product, series or exact part.</x:v>
      </x:c>
    </x:row>
    <x:row r="419" ht="19" customHeight="1">
      <x:c r="A419" s="7" t="str">
        <x:v>linde replacement</x:v>
      </x:c>
      <x:c r="B419" s="8" t="n">
        <x:v>0</x:v>
      </x:c>
      <x:c r="C419" s="9" t="n">
        <x:v>0</x:v>
      </x:c>
      <x:c r="D419" s="10" t="n">
        <x:v>0</x:v>
      </x:c>
      <x:c r="E419" s="8" t="n">
        <x:v>0</x:v>
      </x:c>
      <x:c r="F419" s="11" t="n">
        <x:v>0</x:v>
      </x:c>
      <x:c r="G419" s="7" t="str">
        <x:v>Commercial</x:v>
      </x:c>
      <x:c r="H419" s="7" t="str">
        <x:v>Replacement &amp; Cross-reference</x:v>
      </x:c>
      <x:c r="I419" s="7" t="n">
        <x:v>2</x:v>
      </x:c>
      <x:c r="J419" s="7" t="str">
        <x:v>/brands/linde/</x:v>
      </x:c>
      <x:c r="K419" s="7" t="str">
        <x:v>Covered</x:v>
      </x:c>
      <x:c r="L419" s="7" t="str">
        <x:v>Exclude / qualify</x:v>
      </x:c>
      <x:c r="M419" s="7" t="str">
        <x:v>Brand hub</x:v>
      </x:c>
      <x:c r="N419" s="7" t="n">
        <x:v>1</x:v>
      </x:c>
      <x:c r="O419" s="7" t="n">
        <x:f>IF(B419&gt;=1000,5,IF(B419&gt;=300,4,IF(B419&gt;=100,3,IF(B419&gt;=30,2,IF(B419&gt;=10,1,0)))))</x:f>
        <x:v>0</x:v>
      </x:c>
      <x:c r="P419" s="7" t="n">
        <x:f>IF(C419&gt;=5,4,IF(C419&gt;=2,3,IF(C419&gt;=1,2,IF(C419&gt;0,1,0))))</x:f>
        <x:v>0</x:v>
      </x:c>
      <x:c r="Q419" s="7" t="n">
        <x:f>N419*2+O419+P419+IF(F419&gt;=0.2,1,0)+IF(K419="Gap",2,0)-IF(I419&lt;=2,5,0)</x:f>
        <x:v>-3</x:v>
      </x:c>
      <x:c r="R419" s="7" t="str">
        <x:f>IF(I419&lt;=2,"D",IF(Q419&gt;=15,"A",IF(Q419&gt;=11,"B",IF(Q419&gt;=7,"C","D"))))</x:f>
        <x:v>D</x:v>
      </x:c>
      <x:c r="S419" s="12" t="n">
        <x:f>B419*'Dashboard'!$B$11</x:f>
        <x:v>0</x:v>
      </x:c>
      <x:c r="T419" s="10" t="n">
        <x:f>S419*'Dashboard'!$D$11</x:f>
        <x:v>0</x:v>
      </x:c>
      <x:c r="U419" s="7" t="str">
        <x:v>Broad brand term; narrow to a hydraulic product, series or exact part.</x:v>
      </x:c>
    </x:row>
    <x:row r="420" ht="19" customHeight="1">
      <x:c r="A420" s="7" t="str">
        <x:v>moog replacement</x:v>
      </x:c>
      <x:c r="B420" s="8" t="n">
        <x:v>0</x:v>
      </x:c>
      <x:c r="C420" s="9" t="n">
        <x:v>0</x:v>
      </x:c>
      <x:c r="D420" s="10" t="n">
        <x:v>0</x:v>
      </x:c>
      <x:c r="E420" s="8" t="n">
        <x:v>0</x:v>
      </x:c>
      <x:c r="F420" s="11" t="n">
        <x:v>0</x:v>
      </x:c>
      <x:c r="G420" s="7" t="str">
        <x:v>Commercial</x:v>
      </x:c>
      <x:c r="H420" s="7" t="str">
        <x:v>Replacement &amp; Cross-reference</x:v>
      </x:c>
      <x:c r="I420" s="7" t="n">
        <x:v>2</x:v>
      </x:c>
      <x:c r="J420" s="7" t="str">
        <x:v>/brands/moog/</x:v>
      </x:c>
      <x:c r="K420" s="7" t="str">
        <x:v>Covered</x:v>
      </x:c>
      <x:c r="L420" s="7" t="str">
        <x:v>Exclude / qualify</x:v>
      </x:c>
      <x:c r="M420" s="7" t="str">
        <x:v>Brand hub</x:v>
      </x:c>
      <x:c r="N420" s="7" t="n">
        <x:v>1</x:v>
      </x:c>
      <x:c r="O420" s="7" t="n">
        <x:f>IF(B420&gt;=1000,5,IF(B420&gt;=300,4,IF(B420&gt;=100,3,IF(B420&gt;=30,2,IF(B420&gt;=10,1,0)))))</x:f>
        <x:v>0</x:v>
      </x:c>
      <x:c r="P420" s="7" t="n">
        <x:f>IF(C420&gt;=5,4,IF(C420&gt;=2,3,IF(C420&gt;=1,2,IF(C420&gt;0,1,0))))</x:f>
        <x:v>0</x:v>
      </x:c>
      <x:c r="Q420" s="7" t="n">
        <x:f>N420*2+O420+P420+IF(F420&gt;=0.2,1,0)+IF(K420="Gap",2,0)-IF(I420&lt;=2,5,0)</x:f>
        <x:v>-3</x:v>
      </x:c>
      <x:c r="R420" s="7" t="str">
        <x:f>IF(I420&lt;=2,"D",IF(Q420&gt;=15,"A",IF(Q420&gt;=11,"B",IF(Q420&gt;=7,"C","D"))))</x:f>
        <x:v>D</x:v>
      </x:c>
      <x:c r="S420" s="12" t="n">
        <x:f>B420*'Dashboard'!$B$11</x:f>
        <x:v>0</x:v>
      </x:c>
      <x:c r="T420" s="10" t="n">
        <x:f>S420*'Dashboard'!$D$11</x:f>
        <x:v>0</x:v>
      </x:c>
      <x:c r="U420" s="7" t="str">
        <x:v>Broad brand term; narrow to a hydraulic product, series or exact part.</x:v>
      </x:c>
    </x:row>
    <x:row r="421" ht="19" customHeight="1">
      <x:c r="A421" s="7" t="str">
        <x:v>nachi replacement</x:v>
      </x:c>
      <x:c r="B421" s="8" t="n">
        <x:v>0</x:v>
      </x:c>
      <x:c r="C421" s="9" t="n">
        <x:v>0</x:v>
      </x:c>
      <x:c r="D421" s="10" t="n">
        <x:v>0</x:v>
      </x:c>
      <x:c r="E421" s="8" t="n">
        <x:v>0</x:v>
      </x:c>
      <x:c r="F421" s="11" t="n">
        <x:v>0</x:v>
      </x:c>
      <x:c r="G421" s="7" t="str">
        <x:v>Commercial</x:v>
      </x:c>
      <x:c r="H421" s="7" t="str">
        <x:v>Replacement &amp; Cross-reference</x:v>
      </x:c>
      <x:c r="I421" s="7" t="n">
        <x:v>2</x:v>
      </x:c>
      <x:c r="J421" s="7" t="str">
        <x:v>/brands/nachi/</x:v>
      </x:c>
      <x:c r="K421" s="7" t="str">
        <x:v>Covered</x:v>
      </x:c>
      <x:c r="L421" s="7" t="str">
        <x:v>Exclude / qualify</x:v>
      </x:c>
      <x:c r="M421" s="7" t="str">
        <x:v>Brand hub</x:v>
      </x:c>
      <x:c r="N421" s="7" t="n">
        <x:v>1</x:v>
      </x:c>
      <x:c r="O421" s="7" t="n">
        <x:f>IF(B421&gt;=1000,5,IF(B421&gt;=300,4,IF(B421&gt;=100,3,IF(B421&gt;=30,2,IF(B421&gt;=10,1,0)))))</x:f>
        <x:v>0</x:v>
      </x:c>
      <x:c r="P421" s="7" t="n">
        <x:f>IF(C421&gt;=5,4,IF(C421&gt;=2,3,IF(C421&gt;=1,2,IF(C421&gt;0,1,0))))</x:f>
        <x:v>0</x:v>
      </x:c>
      <x:c r="Q421" s="7" t="n">
        <x:f>N421*2+O421+P421+IF(F421&gt;=0.2,1,0)+IF(K421="Gap",2,0)-IF(I421&lt;=2,5,0)</x:f>
        <x:v>-3</x:v>
      </x:c>
      <x:c r="R421" s="7" t="str">
        <x:f>IF(I421&lt;=2,"D",IF(Q421&gt;=15,"A",IF(Q421&gt;=11,"B",IF(Q421&gt;=7,"C","D"))))</x:f>
        <x:v>D</x:v>
      </x:c>
      <x:c r="S421" s="12" t="n">
        <x:f>B421*'Dashboard'!$B$11</x:f>
        <x:v>0</x:v>
      </x:c>
      <x:c r="T421" s="10" t="n">
        <x:f>S421*'Dashboard'!$D$11</x:f>
        <x:v>0</x:v>
      </x:c>
      <x:c r="U421" s="7" t="str">
        <x:v>Broad brand term; narrow to a hydraulic product, series or exact part.</x:v>
      </x:c>
    </x:row>
    <x:row r="422" ht="19" customHeight="1">
      <x:c r="A422" s="7" t="str">
        <x:v>poclain replacement</x:v>
      </x:c>
      <x:c r="B422" s="8" t="n">
        <x:v>0</x:v>
      </x:c>
      <x:c r="C422" s="9" t="n">
        <x:v>0</x:v>
      </x:c>
      <x:c r="D422" s="10" t="n">
        <x:v>0</x:v>
      </x:c>
      <x:c r="E422" s="8" t="n">
        <x:v>0</x:v>
      </x:c>
      <x:c r="F422" s="11" t="n">
        <x:v>0</x:v>
      </x:c>
      <x:c r="G422" s="7" t="str">
        <x:v>Commercial</x:v>
      </x:c>
      <x:c r="H422" s="7" t="str">
        <x:v>Replacement &amp; Cross-reference</x:v>
      </x:c>
      <x:c r="I422" s="7" t="n">
        <x:v>2</x:v>
      </x:c>
      <x:c r="J422" s="7" t="str">
        <x:v>/brands/poclain/</x:v>
      </x:c>
      <x:c r="K422" s="7" t="str">
        <x:v>Covered</x:v>
      </x:c>
      <x:c r="L422" s="7" t="str">
        <x:v>Exclude / qualify</x:v>
      </x:c>
      <x:c r="M422" s="7" t="str">
        <x:v>Brand hub</x:v>
      </x:c>
      <x:c r="N422" s="7" t="n">
        <x:v>1</x:v>
      </x:c>
      <x:c r="O422" s="7" t="n">
        <x:f>IF(B422&gt;=1000,5,IF(B422&gt;=300,4,IF(B422&gt;=100,3,IF(B422&gt;=30,2,IF(B422&gt;=10,1,0)))))</x:f>
        <x:v>0</x:v>
      </x:c>
      <x:c r="P422" s="7" t="n">
        <x:f>IF(C422&gt;=5,4,IF(C422&gt;=2,3,IF(C422&gt;=1,2,IF(C422&gt;0,1,0))))</x:f>
        <x:v>0</x:v>
      </x:c>
      <x:c r="Q422" s="7" t="n">
        <x:f>N422*2+O422+P422+IF(F422&gt;=0.2,1,0)+IF(K422="Gap",2,0)-IF(I422&lt;=2,5,0)</x:f>
        <x:v>-3</x:v>
      </x:c>
      <x:c r="R422" s="7" t="str">
        <x:f>IF(I422&lt;=2,"D",IF(Q422&gt;=15,"A",IF(Q422&gt;=11,"B",IF(Q422&gt;=7,"C","D"))))</x:f>
        <x:v>D</x:v>
      </x:c>
      <x:c r="S422" s="12" t="n">
        <x:f>B422*'Dashboard'!$B$11</x:f>
        <x:v>0</x:v>
      </x:c>
      <x:c r="T422" s="10" t="n">
        <x:f>S422*'Dashboard'!$D$11</x:f>
        <x:v>0</x:v>
      </x:c>
      <x:c r="U422" s="7" t="str">
        <x:v>Broad brand term; narrow to a hydraulic product, series or exact part.</x:v>
      </x:c>
    </x:row>
  </x:sheetData>
  <x:conditionalFormatting sqref="R2:R422">
    <x:cfRule type="containsText" dxfId="0" priority="1" operator="containsText" text="A"/>
    <x:cfRule type="containsText" dxfId="1" priority="2" operator="containsText" text="B"/>
    <x:cfRule type="containsText" dxfId="2" priority="3" operator="containsText" text="C"/>
    <x:cfRule type="containsText" dxfId="3" priority="4" operator="containsText" text="D"/>
  </x:conditionalFormatting>
  <x:conditionalFormatting sqref="K2:K422">
    <x:cfRule type="containsText" dxfId="4" priority="5" operator="containsText" text="Gap"/>
  </x:conditionalFormatting>
  <x:pageMargins left="0.7" right="0.7" top="0.75" bottom="0.75" header="0.3" footer="0.3"/>
  <x:tableParts count="1">
    <x:tablePart xmlns:r="http://schemas.openxmlformats.org/officeDocument/2006/relationships" r:id="Re068c86162b14c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2" hidden="0" customWidth="1"/>
    <x:col min="3" max="3" width="17" hidden="0" customWidth="1"/>
    <x:col min="4" max="4" width="12" hidden="0" customWidth="1"/>
    <x:col min="5" max="5" width="16" hidden="0" customWidth="1"/>
    <x:col min="6" max="6" width="10" hidden="0" customWidth="1"/>
    <x:col min="7" max="7" width="44" hidden="0" customWidth="1"/>
    <x:col min="8" max="8" width="48" hidden="0" customWidth="1"/>
  </x:cols>
  <x:sheetData>
    <x:row r="1" ht="21" customHeight="1">
      <x:c r="A1" s="6" t="str">
        <x:v>Domain</x:v>
      </x:c>
      <x:c r="B1" s="6" t="str">
        <x:v>Keyword</x:v>
      </x:c>
      <x:c r="C1" s="6" t="str">
        <x:v>Estimated US Traffic</x:v>
      </x:c>
      <x:c r="D1" s="6" t="str">
        <x:v>SERP Position</x:v>
      </x:c>
      <x:c r="E1" s="6" t="str">
        <x:v>Intent</x:v>
      </x:c>
      <x:c r="F1" s="6" t="str">
        <x:v>Relevance</x:v>
      </x:c>
      <x:c r="G1" s="6" t="str">
        <x:v>Matching Hydraulic Match URL</x:v>
      </x:c>
      <x:c r="H1" s="6" t="str">
        <x:v>Recommendation</x:v>
      </x:c>
    </x:row>
    <x:row r="2" ht="21" customHeight="1">
      <x:c r="A2" s="7" t="str">
        <x:v>hydparts.com</x:v>
      </x:c>
      <x:c r="B2" s="7" t="str">
        <x:v>hydrostatic pump</x:v>
      </x:c>
      <x:c r="C2" s="8" t="n">
        <x:v>390</x:v>
      </x:c>
      <x:c r="D2" s="13" t="n">
        <x:v>3</x:v>
      </x:c>
      <x:c r="E2" s="7" t="str">
        <x:v>Product research</x:v>
      </x:c>
      <x:c r="F2" s="7" t="n">
        <x:v>3</x:v>
      </x:c>
      <x:c r="G2" s="7" t="str"/>
      <x:c r="H2" s="7" t="str">
        <x:v>Review as a potential migration/content gap</x:v>
      </x:c>
    </x:row>
    <x:row r="3" ht="21" customHeight="1">
      <x:c r="A3" s="7" t="str">
        <x:v>hydparts.com</x:v>
      </x:c>
      <x:c r="B3" s="7" t="str">
        <x:v>hydraulic pump parts</x:v>
      </x:c>
      <x:c r="C3" s="8" t="n">
        <x:v>79</x:v>
      </x:c>
      <x:c r="D3" s="13" t="n">
        <x:v>1</x:v>
      </x:c>
      <x:c r="E3" s="7" t="str">
        <x:v>Commercial</x:v>
      </x:c>
      <x:c r="F3" s="7" t="n">
        <x:v>5</x:v>
      </x:c>
      <x:c r="G3" s="7" t="str">
        <x:v>/products/hydraulic-pumps/</x:v>
      </x:c>
      <x:c r="H3" s="7" t="str">
        <x:v>Protect and strengthen matching Hydraulic Match page</x:v>
      </x:c>
    </x:row>
    <x:row r="4" ht="21" customHeight="1">
      <x:c r="A4" s="7" t="str">
        <x:v>hydparts.com</x:v>
      </x:c>
      <x:c r="B4" s="7" t="str">
        <x:v>pressure relief valve for hydraulic system</x:v>
      </x:c>
      <x:c r="C4" s="8" t="n">
        <x:v>52</x:v>
      </x:c>
      <x:c r="D4" s="13" t="n">
        <x:v>1</x:v>
      </x:c>
      <x:c r="E4" s="7" t="str">
        <x:v>Product research</x:v>
      </x:c>
      <x:c r="F4" s="7" t="n">
        <x:v>5</x:v>
      </x:c>
      <x:c r="G4" s="7" t="str"/>
      <x:c r="H4" s="7" t="str">
        <x:v>Review as a potential migration/content gap</x:v>
      </x:c>
    </x:row>
    <x:row r="5" ht="21" customHeight="1">
      <x:c r="A5" s="7" t="str">
        <x:v>hydparts.com</x:v>
      </x:c>
      <x:c r="B5" s="7" t="str">
        <x:v>hydraulic pressure reducing valve adjustment</x:v>
      </x:c>
      <x:c r="C5" s="8" t="n">
        <x:v>52</x:v>
      </x:c>
      <x:c r="D5" s="13" t="n">
        <x:v>1</x:v>
      </x:c>
      <x:c r="E5" s="7" t="str">
        <x:v>Informational</x:v>
      </x:c>
      <x:c r="F5" s="7" t="n">
        <x:v>5</x:v>
      </x:c>
      <x:c r="G5" s="7" t="str"/>
      <x:c r="H5" s="7" t="str">
        <x:v>Review as a potential migration/content gap</x:v>
      </x:c>
    </x:row>
    <x:row r="6" ht="21" customHeight="1">
      <x:c r="A6" s="7" t="str">
        <x:v>hydparts.com</x:v>
      </x:c>
      <x:c r="B6" s="7" t="str">
        <x:v>hydraulic fluid freezing point</x:v>
      </x:c>
      <x:c r="C6" s="8" t="n">
        <x:v>52</x:v>
      </x:c>
      <x:c r="D6" s="13" t="n">
        <x:v>1</x:v>
      </x:c>
      <x:c r="E6" s="7" t="str">
        <x:v>Informational</x:v>
      </x:c>
      <x:c r="F6" s="7" t="n">
        <x:v>5</x:v>
      </x:c>
      <x:c r="G6" s="7" t="str"/>
      <x:c r="H6" s="7" t="str">
        <x:v>Review as a potential migration/content gap</x:v>
      </x:c>
    </x:row>
    <x:row r="7" ht="21" customHeight="1">
      <x:c r="A7" s="7" t="str">
        <x:v>hydparts.com</x:v>
      </x:c>
      <x:c r="B7" s="7" t="str">
        <x:v>pascal's principle</x:v>
      </x:c>
      <x:c r="C7" s="8" t="n">
        <x:v>49</x:v>
      </x:c>
      <x:c r="D7" s="13" t="n">
        <x:v>19</x:v>
      </x:c>
      <x:c r="E7" s="7" t="str">
        <x:v>Informational</x:v>
      </x:c>
      <x:c r="F7" s="7" t="n">
        <x:v>3</x:v>
      </x:c>
      <x:c r="G7" s="7" t="str"/>
      <x:c r="H7" s="7" t="str">
        <x:v>Review as a potential migration/content gap</x:v>
      </x:c>
    </x:row>
    <x:row r="8" ht="21" customHeight="1">
      <x:c r="A8" s="7" t="str">
        <x:v>hydparts.com</x:v>
      </x:c>
      <x:c r="B8" s="7" t="str">
        <x:v>pump schematic diagram</x:v>
      </x:c>
      <x:c r="C8" s="8" t="n">
        <x:v>39</x:v>
      </x:c>
      <x:c r="D8" s="13" t="n">
        <x:v>4</x:v>
      </x:c>
      <x:c r="E8" s="7" t="str">
        <x:v>Informational</x:v>
      </x:c>
      <x:c r="F8" s="7" t="n">
        <x:v>3</x:v>
      </x:c>
      <x:c r="G8" s="7" t="str"/>
      <x:c r="H8" s="7" t="str">
        <x:v>Review as a potential migration/content gap</x:v>
      </x:c>
    </x:row>
    <x:row r="9" ht="21" customHeight="1">
      <x:c r="A9" s="7" t="str">
        <x:v>hydparts.com</x:v>
      </x:c>
      <x:c r="B9" s="7" t="str">
        <x:v>hydraulic system schematic diagram</x:v>
      </x:c>
      <x:c r="C9" s="8" t="n">
        <x:v>28</x:v>
      </x:c>
      <x:c r="D9" s="13" t="n">
        <x:v>2</x:v>
      </x:c>
      <x:c r="E9" s="7" t="str">
        <x:v>Informational</x:v>
      </x:c>
      <x:c r="F9" s="7" t="n">
        <x:v>5</x:v>
      </x:c>
      <x:c r="G9" s="7" t="str"/>
      <x:c r="H9" s="7" t="str">
        <x:v>Review as a potential migration/content gap</x:v>
      </x:c>
    </x:row>
    <x:row r="10" ht="21" customHeight="1">
      <x:c r="A10" s="7" t="str">
        <x:v>hydparts.com</x:v>
      </x:c>
      <x:c r="B10" s="7" t="str">
        <x:v>hydraulic circuit diagram</x:v>
      </x:c>
      <x:c r="C10" s="8" t="n">
        <x:v>28</x:v>
      </x:c>
      <x:c r="D10" s="13" t="n">
        <x:v>2</x:v>
      </x:c>
      <x:c r="E10" s="7" t="str">
        <x:v>Informational</x:v>
      </x:c>
      <x:c r="F10" s="7" t="n">
        <x:v>5</x:v>
      </x:c>
      <x:c r="G10" s="7" t="str"/>
      <x:c r="H10" s="7" t="str">
        <x:v>Review as a potential migration/content gap</x:v>
      </x:c>
    </x:row>
    <x:row r="11" ht="21" customHeight="1">
      <x:c r="A11" s="7" t="str">
        <x:v>hydparts.com</x:v>
      </x:c>
      <x:c r="B11" s="7" t="str">
        <x:v>freezing point of hydraulic fluid</x:v>
      </x:c>
      <x:c r="C11" s="8" t="n">
        <x:v>28</x:v>
      </x:c>
      <x:c r="D11" s="13" t="n">
        <x:v>2</x:v>
      </x:c>
      <x:c r="E11" s="7" t="str">
        <x:v>Informational</x:v>
      </x:c>
      <x:c r="F11" s="7" t="n">
        <x:v>5</x:v>
      </x:c>
      <x:c r="G11" s="7" t="str"/>
      <x:c r="H11" s="7" t="str">
        <x:v>Review as a potential migration/content gap</x:v>
      </x:c>
    </x:row>
    <x:row r="12" ht="21" customHeight="1">
      <x:c r="A12" s="7" t="str">
        <x:v>hydparts.com</x:v>
      </x:c>
      <x:c r="B12" s="7" t="str">
        <x:v>freezing point of hydraulic fluid</x:v>
      </x:c>
      <x:c r="C12" s="8" t="n">
        <x:v>28</x:v>
      </x:c>
      <x:c r="D12" s="13" t="n">
        <x:v>2</x:v>
      </x:c>
      <x:c r="E12" s="7" t="str">
        <x:v>Informational</x:v>
      </x:c>
      <x:c r="F12" s="7" t="n">
        <x:v>5</x:v>
      </x:c>
      <x:c r="G12" s="7" t="str"/>
      <x:c r="H12" s="7" t="str">
        <x:v>Review as a potential migration/content gap</x:v>
      </x:c>
    </x:row>
    <x:row r="13" ht="21" customHeight="1">
      <x:c r="A13" s="7" t="str">
        <x:v>hydparts.com</x:v>
      </x:c>
      <x:c r="B13" s="7" t="str">
        <x:v>what do hydraulic tools used to move their parts</x:v>
      </x:c>
      <x:c r="C13" s="8" t="n">
        <x:v>25</x:v>
      </x:c>
      <x:c r="D13" s="13" t="n">
        <x:v>3</x:v>
      </x:c>
      <x:c r="E13" s="7" t="str">
        <x:v>Commercial</x:v>
      </x:c>
      <x:c r="F13" s="7" t="n">
        <x:v>5</x:v>
      </x:c>
      <x:c r="G13" s="7" t="str"/>
      <x:c r="H13" s="7" t="str">
        <x:v>Review as a potential migration/content gap</x:v>
      </x:c>
    </x:row>
    <x:row r="14" ht="21" customHeight="1">
      <x:c r="A14" s="7" t="str">
        <x:v>hydparts.com</x:v>
      </x:c>
      <x:c r="B14" s="7" t="str">
        <x:v>hydraulic pump</x:v>
      </x:c>
      <x:c r="C14" s="8" t="n">
        <x:v>23</x:v>
      </x:c>
      <x:c r="D14" s="13" t="n">
        <x:v>77</x:v>
      </x:c>
      <x:c r="E14" s="7" t="str">
        <x:v>Product research</x:v>
      </x:c>
      <x:c r="F14" s="7" t="n">
        <x:v>5</x:v>
      </x:c>
      <x:c r="G14" s="7" t="str">
        <x:v>/products/hydraulic-pumps/</x:v>
      </x:c>
      <x:c r="H14" s="7" t="str">
        <x:v>Protect and strengthen matching Hydraulic Match page</x:v>
      </x:c>
    </x:row>
    <x:row r="15" ht="21" customHeight="1">
      <x:c r="A15" s="7" t="str">
        <x:v>hydparts.com</x:v>
      </x:c>
      <x:c r="B15" s="7" t="str">
        <x:v>piston motor</x:v>
      </x:c>
      <x:c r="C15" s="8" t="n">
        <x:v>21</x:v>
      </x:c>
      <x:c r="D15" s="13" t="n">
        <x:v>4</x:v>
      </x:c>
      <x:c r="E15" s="7" t="str">
        <x:v>Product research</x:v>
      </x:c>
      <x:c r="F15" s="7" t="n">
        <x:v>3</x:v>
      </x:c>
      <x:c r="G15" s="7" t="str">
        <x:v>/products/hydraulic-motors/</x:v>
      </x:c>
      <x:c r="H15" s="7" t="str">
        <x:v>Protect and strengthen matching Hydraulic Match page</x:v>
      </x:c>
    </x:row>
    <x:row r="16" ht="21" customHeight="1">
      <x:c r="A16" s="7" t="str">
        <x:v>hydparts.com</x:v>
      </x:c>
      <x:c r="B16" s="7" t="str">
        <x:v>hydrostatic hydraulic pump</x:v>
      </x:c>
      <x:c r="C16" s="8" t="n">
        <x:v>21</x:v>
      </x:c>
      <x:c r="D16" s="13" t="n">
        <x:v>1</x:v>
      </x:c>
      <x:c r="E16" s="7" t="str">
        <x:v>Product research</x:v>
      </x:c>
      <x:c r="F16" s="7" t="n">
        <x:v>5</x:v>
      </x:c>
      <x:c r="G16" s="7" t="str">
        <x:v>/products/hydraulic-pumps/</x:v>
      </x:c>
      <x:c r="H16" s="7" t="str">
        <x:v>Protect and strengthen matching Hydraulic Match page</x:v>
      </x:c>
    </x:row>
    <x:row r="17" ht="21" customHeight="1">
      <x:c r="A17" s="7" t="str">
        <x:v>hydparts.com</x:v>
      </x:c>
      <x:c r="B17" s="7" t="str">
        <x:v>hydraulic pump relief valve</x:v>
      </x:c>
      <x:c r="C17" s="8" t="n">
        <x:v>20</x:v>
      </x:c>
      <x:c r="D17" s="13" t="n">
        <x:v>3</x:v>
      </x:c>
      <x:c r="E17" s="7" t="str">
        <x:v>Product research</x:v>
      </x:c>
      <x:c r="F17" s="7" t="n">
        <x:v>5</x:v>
      </x:c>
      <x:c r="G17" s="7" t="str">
        <x:v>/products/hydraulic-pumps/</x:v>
      </x:c>
      <x:c r="H17" s="7" t="str">
        <x:v>Protect and strengthen matching Hydraulic Match page</x:v>
      </x:c>
    </x:row>
    <x:row r="18" ht="21" customHeight="1">
      <x:c r="A18" s="7" t="str">
        <x:v>hydparts.com</x:v>
      </x:c>
      <x:c r="B18" s="7" t="str">
        <x:v>schematic hydraulic system</x:v>
      </x:c>
      <x:c r="C18" s="8" t="n">
        <x:v>17</x:v>
      </x:c>
      <x:c r="D18" s="13" t="n">
        <x:v>3</x:v>
      </x:c>
      <x:c r="E18" s="7" t="str">
        <x:v>Product research</x:v>
      </x:c>
      <x:c r="F18" s="7" t="n">
        <x:v>5</x:v>
      </x:c>
      <x:c r="G18" s="7" t="str"/>
      <x:c r="H18" s="7" t="str">
        <x:v>Review as a potential migration/content gap</x:v>
      </x:c>
    </x:row>
    <x:row r="19" ht="21" customHeight="1">
      <x:c r="A19" s="7" t="str">
        <x:v>hydparts.com</x:v>
      </x:c>
      <x:c r="B19" s="7" t="str">
        <x:v>hydraulic oil freezing point</x:v>
      </x:c>
      <x:c r="C19" s="8" t="n">
        <x:v>17</x:v>
      </x:c>
      <x:c r="D19" s="13" t="n">
        <x:v>3</x:v>
      </x:c>
      <x:c r="E19" s="7" t="str">
        <x:v>Informational</x:v>
      </x:c>
      <x:c r="F19" s="7" t="n">
        <x:v>5</x:v>
      </x:c>
      <x:c r="G19" s="7" t="str"/>
      <x:c r="H19" s="7" t="str">
        <x:v>Review as a potential migration/content gap</x:v>
      </x:c>
    </x:row>
    <x:row r="20" ht="21" customHeight="1">
      <x:c r="A20" s="7" t="str">
        <x:v>hydparts.com</x:v>
      </x:c>
      <x:c r="B20" s="7" t="str">
        <x:v>hydraulic directional control valve</x:v>
      </x:c>
      <x:c r="C20" s="8" t="n">
        <x:v>17</x:v>
      </x:c>
      <x:c r="D20" s="13" t="n">
        <x:v>6</x:v>
      </x:c>
      <x:c r="E20" s="7" t="str">
        <x:v>Product research</x:v>
      </x:c>
      <x:c r="F20" s="7" t="n">
        <x:v>5</x:v>
      </x:c>
      <x:c r="G20" s="7" t="str">
        <x:v>/products/hydraulic-valves/solenoid-directional-valves/</x:v>
      </x:c>
      <x:c r="H20" s="7" t="str">
        <x:v>Protect and strengthen matching Hydraulic Match page</x:v>
      </x:c>
    </x:row>
    <x:row r="21" ht="21" customHeight="1">
      <x:c r="A21" s="7" t="str">
        <x:v>hydparts.com</x:v>
      </x:c>
      <x:c r="B21" s="7" t="str">
        <x:v>can hydraulic fluid freeze</x:v>
      </x:c>
      <x:c r="C21" s="8" t="n">
        <x:v>16</x:v>
      </x:c>
      <x:c r="D21" s="13" t="n">
        <x:v>6</x:v>
      </x:c>
      <x:c r="E21" s="7" t="str">
        <x:v>Informational</x:v>
      </x:c>
      <x:c r="F21" s="7" t="n">
        <x:v>5</x:v>
      </x:c>
      <x:c r="G21" s="7" t="str"/>
      <x:c r="H21" s="7" t="str">
        <x:v>Review as a potential migration/content gap</x:v>
      </x:c>
    </x:row>
    <x:row r="22" ht="21" customHeight="1">
      <x:c r="A22" s="7" t="str">
        <x:v>rexrothreplacements.com</x:v>
      </x:c>
      <x:c r="B22" s="7" t="str">
        <x:v>bosch rexroth valves</x:v>
      </x:c>
      <x:c r="C22" s="8" t="n">
        <x:v>1</x:v>
      </x:c>
      <x:c r="D22" s="13" t="n">
        <x:v>37</x:v>
      </x:c>
      <x:c r="E22" s="7" t="str">
        <x:v>Product research</x:v>
      </x:c>
      <x:c r="F22" s="7" t="n">
        <x:v>4</x:v>
      </x:c>
      <x:c r="G22" s="7" t="str">
        <x:v>/brands/bosch-rexroth/</x:v>
      </x:c>
      <x:c r="H22" s="7" t="str">
        <x:v>Protect and strengthen matching Hydraulic Match page</x:v>
      </x:c>
    </x:row>
    <x:row r="23" ht="21" customHeight="1">
      <x:c r="A23" s="7" t="str">
        <x:v>rexrothreplacements.com</x:v>
      </x:c>
      <x:c r="B23" s="7" t="str">
        <x:v>rexroth dealers</x:v>
      </x:c>
      <x:c r="C23" s="8" t="n">
        <x:v>1</x:v>
      </x:c>
      <x:c r="D23" s="13" t="n">
        <x:v>75</x:v>
      </x:c>
      <x:c r="E23" s="7" t="str">
        <x:v>Product research</x:v>
      </x:c>
      <x:c r="F23" s="7" t="n">
        <x:v>4</x:v>
      </x:c>
      <x:c r="G23" s="7" t="str">
        <x:v>/brands/bosch-rexroth/</x:v>
      </x:c>
      <x:c r="H23" s="7" t="str">
        <x:v>Protect and strengthen matching Hydraulic Match page</x:v>
      </x:c>
    </x:row>
    <x:row r="24" ht="21" customHeight="1">
      <x:c r="A24" s="7" t="str">
        <x:v>rexrothreplacements.com</x:v>
      </x:c>
      <x:c r="B24" s="7" t="str">
        <x:v>rexroth valves</x:v>
      </x:c>
      <x:c r="C24" s="8" t="n">
        <x:v>0</x:v>
      </x:c>
      <x:c r="D24" s="13" t="n">
        <x:v>26</x:v>
      </x:c>
      <x:c r="E24" s="7" t="str">
        <x:v>Product research</x:v>
      </x:c>
      <x:c r="F24" s="7" t="n">
        <x:v>4</x:v>
      </x:c>
      <x:c r="G24" s="7" t="str">
        <x:v>/brands/bosch-rexroth/</x:v>
      </x:c>
      <x:c r="H24" s="7" t="str">
        <x:v>Protect and strengthen matching Hydraulic Match page</x:v>
      </x:c>
    </x:row>
    <x:row r="25" ht="21" customHeight="1">
      <x:c r="A25" s="7" t="str">
        <x:v>rexrothreplacements.com</x:v>
      </x:c>
      <x:c r="B25" s="7" t="str">
        <x:v>rexroth valve distributors</x:v>
      </x:c>
      <x:c r="C25" s="8" t="n">
        <x:v>0</x:v>
      </x:c>
      <x:c r="D25" s="13" t="n">
        <x:v>74</x:v>
      </x:c>
      <x:c r="E25" s="7" t="str">
        <x:v>Product research</x:v>
      </x:c>
      <x:c r="F25" s="7" t="n">
        <x:v>4</x:v>
      </x:c>
      <x:c r="G25" s="7" t="str">
        <x:v>/products/hydraulic-valves/</x:v>
      </x:c>
      <x:c r="H25" s="7" t="str">
        <x:v>Protect and strengthen matching Hydraulic Match page</x:v>
      </x:c>
    </x:row>
    <x:row r="26" ht="21" customHeight="1">
      <x:c r="A26" s="7" t="str">
        <x:v>rexrothreplacements.com</x:v>
      </x:c>
      <x:c r="B26" s="7" t="str">
        <x:v>rexroth hydraulic valves</x:v>
      </x:c>
      <x:c r="C26" s="8" t="n">
        <x:v>0</x:v>
      </x:c>
      <x:c r="D26" s="13" t="n">
        <x:v>33</x:v>
      </x:c>
      <x:c r="E26" s="7" t="str">
        <x:v>Product research</x:v>
      </x:c>
      <x:c r="F26" s="7" t="n">
        <x:v>5</x:v>
      </x:c>
      <x:c r="G26" s="7" t="str">
        <x:v>/products/hydraulic-valves/</x:v>
      </x:c>
      <x:c r="H26" s="7" t="str">
        <x:v>Protect and strengthen matching Hydraulic Match page</x:v>
      </x:c>
    </x:row>
    <x:row r="27" ht="21" customHeight="1">
      <x:c r="A27" s="7" t="str">
        <x:v>rexrothreplacements.com</x:v>
      </x:c>
      <x:c r="B27" s="7" t="str">
        <x:v>a10vso rexroth</x:v>
      </x:c>
      <x:c r="C27" s="8" t="n">
        <x:v>0</x:v>
      </x:c>
      <x:c r="D27" s="13" t="n">
        <x:v>78</x:v>
      </x:c>
      <x:c r="E27" s="7" t="str">
        <x:v>Product research</x:v>
      </x:c>
      <x:c r="F27" s="7" t="n">
        <x:v>5</x:v>
      </x:c>
      <x:c r="G27" s="7" t="str">
        <x:v>/series/a10vso/</x:v>
      </x:c>
      <x:c r="H27" s="7" t="str">
        <x:v>Protect and strengthen matching Hydraulic Match page</x:v>
      </x:c>
    </x:row>
    <x:row r="28" ht="21" customHeight="1">
      <x:c r="A28" s="7" t="str">
        <x:v>restopower.com</x:v>
      </x:c>
      <x:c r="B28" s="7" t="str">
        <x:v>vickers pressure relief valve</x:v>
      </x:c>
      <x:c r="C28" s="8" t="n">
        <x:v>0</x:v>
      </x:c>
      <x:c r="D28" s="13" t="n">
        <x:v>88</x:v>
      </x:c>
      <x:c r="E28" s="7" t="str">
        <x:v>Product research</x:v>
      </x:c>
      <x:c r="F28" s="7" t="n">
        <x:v>4</x:v>
      </x:c>
      <x:c r="G28" s="7" t="str">
        <x:v>/brands/eaton-vickers/</x:v>
      </x:c>
      <x:c r="H28" s="7" t="str">
        <x:v>Protect and strengthen matching Hydraulic Match page</x:v>
      </x:c>
    </x:row>
  </x:sheetData>
  <x:pageMargins left="0.7" right="0.7" top="0.75" bottom="0.75" header="0.3" footer="0.3"/>
  <x:tableParts count="1">
    <x:tablePart xmlns:r="http://schemas.openxmlformats.org/officeDocument/2006/relationships" r:id="Rd31e63a72f0b4f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1" hidden="0" customWidth="1"/>
    <x:col min="3" max="3" width="11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80" hidden="0" customWidth="1"/>
  </x:cols>
  <x:sheetData>
    <x:row r="1" ht="19" customHeight="1">
      <x:c r="A1" s="6" t="str">
        <x:v>Keyword</x:v>
      </x:c>
      <x:c r="B1" s="6" t="str">
        <x:v>Volume</x:v>
      </x:c>
      <x:c r="C1" s="6" t="str">
        <x:v>CPC (USD)</x:v>
      </x:c>
      <x:c r="D1" s="6" t="str">
        <x:v>Ads Competition</x:v>
      </x:c>
      <x:c r="E1" s="6" t="str">
        <x:v>Latest Month</x:v>
      </x:c>
      <x:c r="F1" s="6" t="str">
        <x:v>12M Average</x:v>
      </x:c>
      <x:c r="G1" s="6" t="str">
        <x:v>Trend vs Avg</x:v>
      </x:c>
      <x:c r="H1" s="6" t="str">
        <x:v>12-Month History</x:v>
      </x:c>
    </x:row>
    <x:row r="2" ht="19" customHeight="1">
      <x:c r="A2" s="7" t="str">
        <x:v>hydraulic pump supplier</x:v>
      </x:c>
      <x:c r="B2" s="8" t="n">
        <x:v>170</x:v>
      </x:c>
      <x:c r="C2" s="9" t="n">
        <x:v>1.57</x:v>
      </x:c>
      <x:c r="D2" s="10" t="n">
        <x:v>0.6</x:v>
      </x:c>
      <x:c r="E2" s="12" t="n">
        <x:v>110</x:v>
      </x:c>
      <x:c r="F2" s="12" t="n">
        <x:v>175</x:v>
      </x:c>
      <x:c r="G2" s="11" t="n">
        <x:v>-0.37142857142857144</x:v>
      </x:c>
      <x:c r="H2" s="7" t="str">
        <x:v>Jul 2025:260 | Aug 2025:170 | Sep 2025:210 | Oct 2025:210 | Nov 2025:170 | Dec 2025:140 | Jan 2026:110 | Feb 2026:140 | Mar 2026:110 | Apr 2026:260 | May 2026:210 | Jun 2026:110</x:v>
      </x:c>
    </x:row>
    <x:row r="3" ht="19" customHeight="1">
      <x:c r="A3" s="7" t="str">
        <x:v>hydraulic pump manufacturer</x:v>
      </x:c>
      <x:c r="B3" s="8" t="n">
        <x:v>170</x:v>
      </x:c>
      <x:c r="C3" s="9" t="n">
        <x:v>1.57</x:v>
      </x:c>
      <x:c r="D3" s="10" t="n">
        <x:v>0.6</x:v>
      </x:c>
      <x:c r="E3" s="12" t="n">
        <x:v>110</x:v>
      </x:c>
      <x:c r="F3" s="12" t="n">
        <x:v>175</x:v>
      </x:c>
      <x:c r="G3" s="11" t="n">
        <x:v>-0.37142857142857144</x:v>
      </x:c>
      <x:c r="H3" s="7" t="str">
        <x:v>Jul 2025:260 | Aug 2025:170 | Sep 2025:210 | Oct 2025:210 | Nov 2025:170 | Dec 2025:140 | Jan 2026:110 | Feb 2026:140 | Mar 2026:110 | Apr 2026:260 | May 2026:210 | Jun 2026:110</x:v>
      </x:c>
    </x:row>
    <x:row r="4" ht="19" customHeight="1">
      <x:c r="A4" s="7" t="str">
        <x:v>hydraulic pump replacement</x:v>
      </x:c>
      <x:c r="B4" s="8" t="n">
        <x:v>50</x:v>
      </x:c>
      <x:c r="C4" s="9" t="n">
        <x:v>0.32</x:v>
      </x:c>
      <x:c r="D4" s="10" t="n">
        <x:v>0.73</x:v>
      </x:c>
      <x:c r="E4" s="12" t="n">
        <x:v>90</x:v>
      </x:c>
      <x:c r="F4" s="12" t="n">
        <x:v>50.833333333333336</x:v>
      </x:c>
      <x:c r="G4" s="11" t="n">
        <x:v>0.7704918032786885</x:v>
      </x:c>
      <x:c r="H4" s="7" t="str">
        <x:v>Jul 2025:30 | Aug 2025:90 | Sep 2025:50 | Oct 2025:50 | Nov 2025:40 | Dec 2025:40 | Jan 2026:40 | Feb 2026:40 | Mar 2026:20 | Apr 2026:70 | May 2026:50 | Jun 2026:90</x:v>
      </x:c>
    </x:row>
    <x:row r="5" ht="19" customHeight="1">
      <x:c r="A5" s="7" t="str">
        <x:v>hydraulic pump aftermarket</x:v>
      </x:c>
      <x:c r="B5" s="8" t="n">
        <x:v>0</x:v>
      </x:c>
      <x:c r="C5" s="9" t="n">
        <x:v>0</x:v>
      </x:c>
      <x:c r="D5" s="10" t="n">
        <x:v>0</x:v>
      </x:c>
      <x:c r="E5" s="12" t="n">
        <x:v>0</x:v>
      </x:c>
      <x:c r="F5" s="12" t="n">
        <x:v>0</x:v>
      </x:c>
      <x:c r="G5" s="11" t="n">
        <x:v>0</x:v>
      </x:c>
      <x:c r="H5" s="7" t="str"/>
    </x:row>
    <x:row r="6" ht="19" customHeight="1">
      <x:c r="A6" s="7" t="str">
        <x:v>hydraulic pump in stock</x:v>
      </x:c>
      <x:c r="B6" s="8" t="n">
        <x:v>0</x:v>
      </x:c>
      <x:c r="C6" s="9" t="n">
        <x:v>0</x:v>
      </x:c>
      <x:c r="D6" s="10" t="n">
        <x:v>0</x:v>
      </x:c>
      <x:c r="E6" s="12" t="n">
        <x:v>0</x:v>
      </x:c>
      <x:c r="F6" s="12" t="n">
        <x:v>0</x:v>
      </x:c>
      <x:c r="G6" s="11" t="n">
        <x:v>0</x:v>
      </x:c>
      <x:c r="H6" s="7" t="str"/>
    </x:row>
    <x:row r="7" ht="19" customHeight="1">
      <x:c r="A7" s="7" t="str">
        <x:v>hydraulic piston pump</x:v>
      </x:c>
      <x:c r="B7" s="8" t="n">
        <x:v>720</x:v>
      </x:c>
      <x:c r="C7" s="9" t="n">
        <x:v>1</x:v>
      </x:c>
      <x:c r="D7" s="10" t="n">
        <x:v>0.8</x:v>
      </x:c>
      <x:c r="E7" s="12" t="n">
        <x:v>480</x:v>
      </x:c>
      <x:c r="F7" s="12" t="n">
        <x:v>777.5</x:v>
      </x:c>
      <x:c r="G7" s="11" t="n">
        <x:v>-0.38263665594855306</x:v>
      </x:c>
      <x:c r="H7" s="7" t="str">
        <x:v>Jul 2025:720 | Aug 2025:720 | Sep 2025:720 | Oct 2025:1300 | Nov 2025:880 | Dec 2025:880 | Jan 2026:880 | Feb 2026:590 | Mar 2026:720 | Apr 2026:720 | May 2026:720 | Jun 2026:480</x:v>
      </x:c>
    </x:row>
    <x:row r="8" ht="19" customHeight="1">
      <x:c r="A8" s="7" t="str">
        <x:v>hydraulic piston pump supplier</x:v>
      </x:c>
      <x:c r="B8" s="8" t="n">
        <x:v>10</x:v>
      </x:c>
      <x:c r="C8" s="9" t="n">
        <x:v>0</x:v>
      </x:c>
      <x:c r="D8" s="10" t="n">
        <x:v>0.52</x:v>
      </x:c>
      <x:c r="E8" s="12" t="n">
        <x:v>10</x:v>
      </x:c>
      <x:c r="F8" s="12" t="n">
        <x:v>8.333333333333334</x:v>
      </x:c>
      <x:c r="G8" s="11" t="n">
        <x:v>0.19999999999999993</x:v>
      </x:c>
      <x:c r="H8" s="7" t="str">
        <x:v>Jul 2025:0 | Aug 2025:10 | Sep 2025:10 | Oct 2025:10 | Nov 2025:0 | Dec 2025:10 | Jan 2026:0 | Feb 2026:10 | Mar 2026:10 | Apr 2026:20 | May 2026:10 | Jun 2026:10</x:v>
      </x:c>
    </x:row>
    <x:row r="9" ht="19" customHeight="1">
      <x:c r="A9" s="7" t="str">
        <x:v>hydraulic piston pump manufacturer</x:v>
      </x:c>
      <x:c r="B9" s="8" t="n">
        <x:v>10</x:v>
      </x:c>
      <x:c r="C9" s="9" t="n">
        <x:v>0</x:v>
      </x:c>
      <x:c r="D9" s="10" t="n">
        <x:v>0.52</x:v>
      </x:c>
      <x:c r="E9" s="12" t="n">
        <x:v>10</x:v>
      </x:c>
      <x:c r="F9" s="12" t="n">
        <x:v>8.333333333333334</x:v>
      </x:c>
      <x:c r="G9" s="11" t="n">
        <x:v>0.19999999999999993</x:v>
      </x:c>
      <x:c r="H9" s="7" t="str">
        <x:v>Jul 2025:0 | Aug 2025:10 | Sep 2025:10 | Oct 2025:10 | Nov 2025:0 | Dec 2025:10 | Jan 2026:0 | Feb 2026:10 | Mar 2026:10 | Apr 2026:20 | May 2026:10 | Jun 2026:10</x:v>
      </x:c>
    </x:row>
    <x:row r="10" ht="19" customHeight="1">
      <x:c r="A10" s="7" t="str">
        <x:v>hydraulic piston pump replacement</x:v>
      </x:c>
      <x:c r="B10" s="8" t="n">
        <x:v>0</x:v>
      </x:c>
      <x:c r="C10" s="9" t="n">
        <x:v>0</x:v>
      </x:c>
      <x:c r="D10" s="10" t="n">
        <x:v>0</x:v>
      </x:c>
      <x:c r="E10" s="12" t="n">
        <x:v>0</x:v>
      </x:c>
      <x:c r="F10" s="12" t="n">
        <x:v>0</x:v>
      </x:c>
      <x:c r="G10" s="11" t="n">
        <x:v>0</x:v>
      </x:c>
      <x:c r="H10" s="7" t="str"/>
    </x:row>
    <x:row r="11" ht="19" customHeight="1">
      <x:c r="A11" s="7" t="str">
        <x:v>hydraulic piston pump aftermarket</x:v>
      </x:c>
      <x:c r="B11" s="8" t="n">
        <x:v>0</x:v>
      </x:c>
      <x:c r="C11" s="9" t="n">
        <x:v>0</x:v>
      </x:c>
      <x:c r="D11" s="10" t="n">
        <x:v>0</x:v>
      </x:c>
      <x:c r="E11" s="12" t="n">
        <x:v>0</x:v>
      </x:c>
      <x:c r="F11" s="12" t="n">
        <x:v>0</x:v>
      </x:c>
      <x:c r="G11" s="11" t="n">
        <x:v>0</x:v>
      </x:c>
      <x:c r="H11" s="7" t="str"/>
    </x:row>
    <x:row r="12" ht="19" customHeight="1">
      <x:c r="A12" s="7" t="str">
        <x:v>hydraulic piston pump in stock</x:v>
      </x:c>
      <x:c r="B12" s="8" t="n">
        <x:v>0</x:v>
      </x:c>
      <x:c r="C12" s="9" t="n">
        <x:v>0</x:v>
      </x:c>
      <x:c r="D12" s="10" t="n">
        <x:v>0</x:v>
      </x:c>
      <x:c r="E12" s="12" t="n">
        <x:v>0</x:v>
      </x:c>
      <x:c r="F12" s="12" t="n">
        <x:v>0</x:v>
      </x:c>
      <x:c r="G12" s="11" t="n">
        <x:v>0</x:v>
      </x:c>
      <x:c r="H12" s="7" t="str"/>
    </x:row>
    <x:row r="13" ht="19" customHeight="1">
      <x:c r="A13" s="7" t="str">
        <x:v>axial piston pump</x:v>
      </x:c>
      <x:c r="B13" s="8" t="n">
        <x:v>720</x:v>
      </x:c>
      <x:c r="C13" s="9" t="n">
        <x:v>1.37</x:v>
      </x:c>
      <x:c r="D13" s="10" t="n">
        <x:v>0.22</x:v>
      </x:c>
      <x:c r="E13" s="12" t="n">
        <x:v>720</x:v>
      </x:c>
      <x:c r="F13" s="12" t="n">
        <x:v>681.6666666666666</x:v>
      </x:c>
      <x:c r="G13" s="11" t="n">
        <x:v>0.056234718826405926</x:v>
      </x:c>
      <x:c r="H13" s="7" t="str">
        <x:v>Jul 2025:590 | Aug 2025:590 | Sep 2025:590 | Oct 2025:880 | Nov 2025:590 | Dec 2025:590 | Jan 2026:720 | Feb 2026:720 | Mar 2026:880 | Apr 2026:720 | May 2026:590 | Jun 2026:720</x:v>
      </x:c>
    </x:row>
    <x:row r="14" ht="19" customHeight="1">
      <x:c r="A14" s="7" t="str">
        <x:v>axial piston pump supplier</x:v>
      </x:c>
      <x:c r="B14" s="8" t="n">
        <x:v>10</x:v>
      </x:c>
      <x:c r="C14" s="9" t="n">
        <x:v>0</x:v>
      </x:c>
      <x:c r="D14" s="10" t="n">
        <x:v>0</x:v>
      </x:c>
      <x:c r="E14" s="12" t="n">
        <x:v>10</x:v>
      </x:c>
      <x:c r="F14" s="12" t="n">
        <x:v>9.166666666666666</x:v>
      </x:c>
      <x:c r="G14" s="11" t="n">
        <x:v>0.09090909090909098</x:v>
      </x:c>
      <x:c r="H14" s="7" t="str">
        <x:v>Jul 2025:10 | Aug 2025:10 | Sep 2025:10 | Oct 2025:10 | Nov 2025:10 | Dec 2025:10 | Jan 2026:10 | Feb 2026:10 | Mar 2026:10 | Apr 2026:10 | May 2026:0 | Jun 2026:10</x:v>
      </x:c>
    </x:row>
    <x:row r="15" ht="19" customHeight="1">
      <x:c r="A15" s="7" t="str">
        <x:v>axial piston pump manufacturer</x:v>
      </x:c>
      <x:c r="B15" s="8" t="n">
        <x:v>0</x:v>
      </x:c>
      <x:c r="C15" s="9" t="n">
        <x:v>0</x:v>
      </x:c>
      <x:c r="D15" s="10" t="n">
        <x:v>0</x:v>
      </x:c>
      <x:c r="E15" s="12" t="n">
        <x:v>0</x:v>
      </x:c>
      <x:c r="F15" s="12" t="n">
        <x:v>0</x:v>
      </x:c>
      <x:c r="G15" s="11" t="n">
        <x:v>0</x:v>
      </x:c>
      <x:c r="H15" s="7" t="str"/>
    </x:row>
    <x:row r="16" ht="19" customHeight="1">
      <x:c r="A16" s="7" t="str">
        <x:v>axial piston pump replacement</x:v>
      </x:c>
      <x:c r="B16" s="8" t="n">
        <x:v>0</x:v>
      </x:c>
      <x:c r="C16" s="9" t="n">
        <x:v>0</x:v>
      </x:c>
      <x:c r="D16" s="10" t="n">
        <x:v>0</x:v>
      </x:c>
      <x:c r="E16" s="12" t="n">
        <x:v>0</x:v>
      </x:c>
      <x:c r="F16" s="12" t="n">
        <x:v>0</x:v>
      </x:c>
      <x:c r="G16" s="11" t="n">
        <x:v>0</x:v>
      </x:c>
      <x:c r="H16" s="7" t="str"/>
    </x:row>
    <x:row r="17" ht="19" customHeight="1">
      <x:c r="A17" s="7" t="str">
        <x:v>axial piston pump aftermarket</x:v>
      </x:c>
      <x:c r="B17" s="8" t="n">
        <x:v>0</x:v>
      </x:c>
      <x:c r="C17" s="9" t="n">
        <x:v>0</x:v>
      </x:c>
      <x:c r="D17" s="10" t="n">
        <x:v>0</x:v>
      </x:c>
      <x:c r="E17" s="12" t="n">
        <x:v>0</x:v>
      </x:c>
      <x:c r="F17" s="12" t="n">
        <x:v>0</x:v>
      </x:c>
      <x:c r="G17" s="11" t="n">
        <x:v>0</x:v>
      </x:c>
      <x:c r="H17" s="7" t="str"/>
    </x:row>
    <x:row r="18" ht="19" customHeight="1">
      <x:c r="A18" s="7" t="str">
        <x:v>axial piston pump in stock</x:v>
      </x:c>
      <x:c r="B18" s="8" t="n">
        <x:v>0</x:v>
      </x:c>
      <x:c r="C18" s="9" t="n">
        <x:v>0</x:v>
      </x:c>
      <x:c r="D18" s="10" t="n">
        <x:v>0</x:v>
      </x:c>
      <x:c r="E18" s="12" t="n">
        <x:v>0</x:v>
      </x:c>
      <x:c r="F18" s="12" t="n">
        <x:v>0</x:v>
      </x:c>
      <x:c r="G18" s="11" t="n">
        <x:v>0</x:v>
      </x:c>
      <x:c r="H18" s="7" t="str"/>
    </x:row>
    <x:row r="19" ht="19" customHeight="1">
      <x:c r="A19" s="7" t="str">
        <x:v>variable displacement pump</x:v>
      </x:c>
      <x:c r="B19" s="8" t="n">
        <x:v>480</x:v>
      </x:c>
      <x:c r="C19" s="9" t="n">
        <x:v>0.94</x:v>
      </x:c>
      <x:c r="D19" s="10" t="n">
        <x:v>0.31</x:v>
      </x:c>
      <x:c r="E19" s="12" t="n">
        <x:v>480</x:v>
      </x:c>
      <x:c r="F19" s="12" t="n">
        <x:v>474.1666666666667</x:v>
      </x:c>
      <x:c r="G19" s="11" t="n">
        <x:v>0.012302284710017534</x:v>
      </x:c>
      <x:c r="H19" s="7" t="str">
        <x:v>Jul 2025:480 | Aug 2025:480 | Sep 2025:480 | Oct 2025:480 | Nov 2025:480 | Dec 2025:390 | Jan 2026:390 | Feb 2026:480 | Mar 2026:480 | Apr 2026:480 | May 2026:590 | Jun 2026:480</x:v>
      </x:c>
    </x:row>
    <x:row r="20" ht="19" customHeight="1">
      <x:c r="A20" s="7" t="str">
        <x:v>variable displacement pump supplier</x:v>
      </x:c>
      <x:c r="B20" s="8" t="n">
        <x:v>0</x:v>
      </x:c>
      <x:c r="C20" s="9" t="n">
        <x:v>0</x:v>
      </x:c>
      <x:c r="D20" s="10" t="n">
        <x:v>0</x:v>
      </x:c>
      <x:c r="E20" s="12" t="n">
        <x:v>0</x:v>
      </x:c>
      <x:c r="F20" s="12" t="n">
        <x:v>0</x:v>
      </x:c>
      <x:c r="G20" s="11" t="n">
        <x:v>0</x:v>
      </x:c>
      <x:c r="H20" s="7" t="str"/>
    </x:row>
    <x:row r="21" ht="19" customHeight="1">
      <x:c r="A21" s="7" t="str">
        <x:v>variable displacement pump manufacturer</x:v>
      </x:c>
      <x:c r="B21" s="8" t="n">
        <x:v>0</x:v>
      </x:c>
      <x:c r="C21" s="9" t="n">
        <x:v>0</x:v>
      </x:c>
      <x:c r="D21" s="10" t="n">
        <x:v>0</x:v>
      </x:c>
      <x:c r="E21" s="12" t="n">
        <x:v>0</x:v>
      </x:c>
      <x:c r="F21" s="12" t="n">
        <x:v>0</x:v>
      </x:c>
      <x:c r="G21" s="11" t="n">
        <x:v>0</x:v>
      </x:c>
      <x:c r="H21" s="7" t="str"/>
    </x:row>
    <x:row r="22" ht="19" customHeight="1">
      <x:c r="A22" s="7" t="str">
        <x:v>variable displacement pump replacement</x:v>
      </x:c>
      <x:c r="B22" s="8" t="n">
        <x:v>0</x:v>
      </x:c>
      <x:c r="C22" s="9" t="n">
        <x:v>0</x:v>
      </x:c>
      <x:c r="D22" s="10" t="n">
        <x:v>0</x:v>
      </x:c>
      <x:c r="E22" s="12" t="n">
        <x:v>0</x:v>
      </x:c>
      <x:c r="F22" s="12" t="n">
        <x:v>0</x:v>
      </x:c>
      <x:c r="G22" s="11" t="n">
        <x:v>0</x:v>
      </x:c>
      <x:c r="H22" s="7" t="str"/>
    </x:row>
    <x:row r="23" ht="19" customHeight="1">
      <x:c r="A23" s="7" t="str">
        <x:v>variable displacement pump aftermarket</x:v>
      </x:c>
      <x:c r="B23" s="8" t="n">
        <x:v>0</x:v>
      </x:c>
      <x:c r="C23" s="9" t="n">
        <x:v>0</x:v>
      </x:c>
      <x:c r="D23" s="10" t="n">
        <x:v>0</x:v>
      </x:c>
      <x:c r="E23" s="12" t="n">
        <x:v>0</x:v>
      </x:c>
      <x:c r="F23" s="12" t="n">
        <x:v>0</x:v>
      </x:c>
      <x:c r="G23" s="11" t="n">
        <x:v>0</x:v>
      </x:c>
      <x:c r="H23" s="7" t="str"/>
    </x:row>
    <x:row r="24" ht="19" customHeight="1">
      <x:c r="A24" s="7" t="str">
        <x:v>variable displacement pump in stock</x:v>
      </x:c>
      <x:c r="B24" s="8" t="n">
        <x:v>0</x:v>
      </x:c>
      <x:c r="C24" s="9" t="n">
        <x:v>0</x:v>
      </x:c>
      <x:c r="D24" s="10" t="n">
        <x:v>0</x:v>
      </x:c>
      <x:c r="E24" s="12" t="n">
        <x:v>0</x:v>
      </x:c>
      <x:c r="F24" s="12" t="n">
        <x:v>0</x:v>
      </x:c>
      <x:c r="G24" s="11" t="n">
        <x:v>0</x:v>
      </x:c>
      <x:c r="H24" s="7" t="str"/>
    </x:row>
    <x:row r="25" ht="19" customHeight="1">
      <x:c r="A25" s="7" t="str">
        <x:v>hydraulic vane pump</x:v>
      </x:c>
      <x:c r="B25" s="8" t="n">
        <x:v>320</x:v>
      </x:c>
      <x:c r="C25" s="9" t="n">
        <x:v>0.74</x:v>
      </x:c>
      <x:c r="D25" s="10" t="n">
        <x:v>1</x:v>
      </x:c>
      <x:c r="E25" s="12" t="n">
        <x:v>320</x:v>
      </x:c>
      <x:c r="F25" s="12" t="n">
        <x:v>312.5</x:v>
      </x:c>
      <x:c r="G25" s="11" t="n">
        <x:v>0.024</x:v>
      </x:c>
      <x:c r="H25" s="7" t="str">
        <x:v>Jul 2025:320 | Aug 2025:260 | Sep 2025:210 | Oct 2025:320 | Nov 2025:320 | Dec 2025:320 | Jan 2026:260 | Feb 2026:390 | Mar 2026:320 | Apr 2026:320 | May 2026:390 | Jun 2026:320</x:v>
      </x:c>
    </x:row>
    <x:row r="26" ht="19" customHeight="1">
      <x:c r="A26" s="7" t="str">
        <x:v>hydraulic vane pump supplier</x:v>
      </x:c>
      <x:c r="B26" s="8" t="n">
        <x:v>0</x:v>
      </x:c>
      <x:c r="C26" s="9" t="n">
        <x:v>0</x:v>
      </x:c>
      <x:c r="D26" s="10" t="n">
        <x:v>0</x:v>
      </x:c>
      <x:c r="E26" s="12" t="n">
        <x:v>0</x:v>
      </x:c>
      <x:c r="F26" s="12" t="n">
        <x:v>0</x:v>
      </x:c>
      <x:c r="G26" s="11" t="n">
        <x:v>0</x:v>
      </x:c>
      <x:c r="H26" s="7" t="str"/>
    </x:row>
    <x:row r="27" ht="19" customHeight="1">
      <x:c r="A27" s="7" t="str">
        <x:v>hydraulic vane pump manufacturer</x:v>
      </x:c>
      <x:c r="B27" s="8" t="n">
        <x:v>0</x:v>
      </x:c>
      <x:c r="C27" s="9" t="n">
        <x:v>0</x:v>
      </x:c>
      <x:c r="D27" s="10" t="n">
        <x:v>0</x:v>
      </x:c>
      <x:c r="E27" s="12" t="n">
        <x:v>0</x:v>
      </x:c>
      <x:c r="F27" s="12" t="n">
        <x:v>0</x:v>
      </x:c>
      <x:c r="G27" s="11" t="n">
        <x:v>0</x:v>
      </x:c>
      <x:c r="H27" s="7" t="str"/>
    </x:row>
    <x:row r="28" ht="19" customHeight="1">
      <x:c r="A28" s="7" t="str">
        <x:v>hydraulic vane pump replacement</x:v>
      </x:c>
      <x:c r="B28" s="8" t="n">
        <x:v>0</x:v>
      </x:c>
      <x:c r="C28" s="9" t="n">
        <x:v>0</x:v>
      </x:c>
      <x:c r="D28" s="10" t="n">
        <x:v>0</x:v>
      </x:c>
      <x:c r="E28" s="12" t="n">
        <x:v>0</x:v>
      </x:c>
      <x:c r="F28" s="12" t="n">
        <x:v>0</x:v>
      </x:c>
      <x:c r="G28" s="11" t="n">
        <x:v>0</x:v>
      </x:c>
      <x:c r="H28" s="7" t="str"/>
    </x:row>
    <x:row r="29" ht="19" customHeight="1">
      <x:c r="A29" s="7" t="str">
        <x:v>hydraulic vane pump aftermarket</x:v>
      </x:c>
      <x:c r="B29" s="8" t="n">
        <x:v>0</x:v>
      </x:c>
      <x:c r="C29" s="9" t="n">
        <x:v>0</x:v>
      </x:c>
      <x:c r="D29" s="10" t="n">
        <x:v>0</x:v>
      </x:c>
      <x:c r="E29" s="12" t="n">
        <x:v>0</x:v>
      </x:c>
      <x:c r="F29" s="12" t="n">
        <x:v>0</x:v>
      </x:c>
      <x:c r="G29" s="11" t="n">
        <x:v>0</x:v>
      </x:c>
      <x:c r="H29" s="7" t="str"/>
    </x:row>
    <x:row r="30" ht="19" customHeight="1">
      <x:c r="A30" s="7" t="str">
        <x:v>hydraulic vane pump in stock</x:v>
      </x:c>
      <x:c r="B30" s="8" t="n">
        <x:v>0</x:v>
      </x:c>
      <x:c r="C30" s="9" t="n">
        <x:v>0</x:v>
      </x:c>
      <x:c r="D30" s="10" t="n">
        <x:v>0</x:v>
      </x:c>
      <x:c r="E30" s="12" t="n">
        <x:v>0</x:v>
      </x:c>
      <x:c r="F30" s="12" t="n">
        <x:v>0</x:v>
      </x:c>
      <x:c r="G30" s="11" t="n">
        <x:v>0</x:v>
      </x:c>
      <x:c r="H30" s="7" t="str"/>
    </x:row>
    <x:row r="31" ht="19" customHeight="1">
      <x:c r="A31" s="7" t="str">
        <x:v>hydraulic gear pump</x:v>
      </x:c>
      <x:c r="B31" s="8" t="n">
        <x:v>1300</x:v>
      </x:c>
      <x:c r="C31" s="9" t="n">
        <x:v>0.51</x:v>
      </x:c>
      <x:c r="D31" s="10" t="n">
        <x:v>1</x:v>
      </x:c>
      <x:c r="E31" s="12" t="n">
        <x:v>720</x:v>
      </x:c>
      <x:c r="F31" s="12" t="n">
        <x:v>1248.3333333333333</x:v>
      </x:c>
      <x:c r="G31" s="11" t="n">
        <x:v>-0.42323097463284376</x:v>
      </x:c>
      <x:c r="H31" s="7" t="str">
        <x:v>Jul 2025:880 | Aug 2025:880 | Sep 2025:720 | Oct 2025:1300 | Nov 2025:1300 | Dec 2025:1900 | Jan 2026:1300 | Feb 2026:1900 | Mar 2026:1900 | Apr 2026:1300 | May 2026:880 | Jun 2026:720</x:v>
      </x:c>
    </x:row>
    <x:row r="32" ht="19" customHeight="1">
      <x:c r="A32" s="7" t="str">
        <x:v>hydraulic gear pump supplier</x:v>
      </x:c>
      <x:c r="B32" s="8" t="n">
        <x:v>40</x:v>
      </x:c>
      <x:c r="C32" s="9" t="n">
        <x:v>2.27</x:v>
      </x:c>
      <x:c r="D32" s="10" t="n">
        <x:v>0.57</x:v>
      </x:c>
      <x:c r="E32" s="12" t="n">
        <x:v>10</x:v>
      </x:c>
      <x:c r="F32" s="12" t="n">
        <x:v>35.833333333333336</x:v>
      </x:c>
      <x:c r="G32" s="11" t="n">
        <x:v>-0.7209302325581396</x:v>
      </x:c>
      <x:c r="H32" s="7" t="str">
        <x:v>Jul 2025:50 | Aug 2025:40 | Sep 2025:40 | Oct 2025:50 | Nov 2025:30 | Dec 2025:20 | Jan 2026:50 | Feb 2026:30 | Mar 2026:40 | Apr 2026:30 | May 2026:40 | Jun 2026:10</x:v>
      </x:c>
    </x:row>
    <x:row r="33" ht="19" customHeight="1">
      <x:c r="A33" s="7" t="str">
        <x:v>hydraulic gear pump manufacturer</x:v>
      </x:c>
      <x:c r="B33" s="8" t="n">
        <x:v>40</x:v>
      </x:c>
      <x:c r="C33" s="9" t="n">
        <x:v>2.09</x:v>
      </x:c>
      <x:c r="D33" s="10" t="n">
        <x:v>0.61</x:v>
      </x:c>
      <x:c r="E33" s="12" t="n">
        <x:v>40</x:v>
      </x:c>
      <x:c r="F33" s="12" t="n">
        <x:v>37.5</x:v>
      </x:c>
      <x:c r="G33" s="11" t="n">
        <x:v>0.06666666666666667</x:v>
      </x:c>
      <x:c r="H33" s="7" t="str">
        <x:v>Jul 2025:30 | Aug 2025:50 | Sep 2025:40 | Oct 2025:40 | Nov 2025:50 | Dec 2025:30 | Jan 2026:20 | Feb 2026:50 | Mar 2026:30 | Apr 2026:40 | May 2026:30 | Jun 2026:40</x:v>
      </x:c>
    </x:row>
    <x:row r="34" ht="19" customHeight="1">
      <x:c r="A34" s="7" t="str">
        <x:v>hydraulic gear pump replacement</x:v>
      </x:c>
      <x:c r="B34" s="8" t="n">
        <x:v>0</x:v>
      </x:c>
      <x:c r="C34" s="9" t="n">
        <x:v>0</x:v>
      </x:c>
      <x:c r="D34" s="10" t="n">
        <x:v>0</x:v>
      </x:c>
      <x:c r="E34" s="12" t="n">
        <x:v>0</x:v>
      </x:c>
      <x:c r="F34" s="12" t="n">
        <x:v>0</x:v>
      </x:c>
      <x:c r="G34" s="11" t="n">
        <x:v>0</x:v>
      </x:c>
      <x:c r="H34" s="7" t="str"/>
    </x:row>
    <x:row r="35" ht="19" customHeight="1">
      <x:c r="A35" s="7" t="str">
        <x:v>hydraulic gear pump aftermarket</x:v>
      </x:c>
      <x:c r="B35" s="8" t="n">
        <x:v>0</x:v>
      </x:c>
      <x:c r="C35" s="9" t="n">
        <x:v>0</x:v>
      </x:c>
      <x:c r="D35" s="10" t="n">
        <x:v>0</x:v>
      </x:c>
      <x:c r="E35" s="12" t="n">
        <x:v>0</x:v>
      </x:c>
      <x:c r="F35" s="12" t="n">
        <x:v>0</x:v>
      </x:c>
      <x:c r="G35" s="11" t="n">
        <x:v>0</x:v>
      </x:c>
      <x:c r="H35" s="7" t="str"/>
    </x:row>
    <x:row r="36" ht="19" customHeight="1">
      <x:c r="A36" s="7" t="str">
        <x:v>hydraulic gear pump in stock</x:v>
      </x:c>
      <x:c r="B36" s="8" t="n">
        <x:v>0</x:v>
      </x:c>
      <x:c r="C36" s="9" t="n">
        <x:v>0</x:v>
      </x:c>
      <x:c r="D36" s="10" t="n">
        <x:v>0</x:v>
      </x:c>
      <x:c r="E36" s="12" t="n">
        <x:v>0</x:v>
      </x:c>
      <x:c r="F36" s="12" t="n">
        <x:v>0</x:v>
      </x:c>
      <x:c r="G36" s="11" t="n">
        <x:v>0</x:v>
      </x:c>
      <x:c r="H36" s="7" t="str"/>
    </x:row>
    <x:row r="37" ht="19" customHeight="1">
      <x:c r="A37" s="7" t="str">
        <x:v>hydraulic motor</x:v>
      </x:c>
      <x:c r="B37" s="8" t="n">
        <x:v>4400</x:v>
      </x:c>
      <x:c r="C37" s="9" t="n">
        <x:v>0.24</x:v>
      </x:c>
      <x:c r="D37" s="10" t="n">
        <x:v>1</x:v>
      </x:c>
      <x:c r="E37" s="12" t="n">
        <x:v>3600</x:v>
      </x:c>
      <x:c r="F37" s="12" t="n">
        <x:v>4433.333333333333</x:v>
      </x:c>
      <x:c r="G37" s="11" t="n">
        <x:v>-0.18796992481203</x:v>
      </x:c>
      <x:c r="H37" s="7" t="str">
        <x:v>Jul 2025:4400 | Aug 2025:4400 | Sep 2025:5400 | Oct 2025:4400 | Nov 2025:5400 | Dec 2025:4400 | Jan 2026:4400 | Feb 2026:4400 | Mar 2026:3600 | Apr 2026:4400 | May 2026:4400 | Jun 2026:3600</x:v>
      </x:c>
    </x:row>
    <x:row r="38" ht="19" customHeight="1">
      <x:c r="A38" s="7" t="str">
        <x:v>hydraulic motor supplier</x:v>
      </x:c>
      <x:c r="B38" s="8" t="n">
        <x:v>90</x:v>
      </x:c>
      <x:c r="C38" s="9" t="n">
        <x:v>1.85</x:v>
      </x:c>
      <x:c r="D38" s="10" t="n">
        <x:v>0.12</x:v>
      </x:c>
      <x:c r="E38" s="12" t="n">
        <x:v>40</x:v>
      </x:c>
      <x:c r="F38" s="12" t="n">
        <x:v>97.5</x:v>
      </x:c>
      <x:c r="G38" s="11" t="n">
        <x:v>-0.5897435897435898</x:v>
      </x:c>
      <x:c r="H38" s="7" t="str">
        <x:v>Jul 2025:140 | Aug 2025:110 | Sep 2025:170 | Oct 2025:140 | Nov 2025:90 | Dec 2025:50 | Jan 2026:110 | Feb 2026:70 | Mar 2026:90 | Apr 2026:90 | May 2026:70 | Jun 2026:40</x:v>
      </x:c>
    </x:row>
    <x:row r="39" ht="19" customHeight="1">
      <x:c r="A39" s="7" t="str">
        <x:v>hydraulic motor manufacturer</x:v>
      </x:c>
      <x:c r="B39" s="8" t="n">
        <x:v>90</x:v>
      </x:c>
      <x:c r="C39" s="9" t="n">
        <x:v>1.85</x:v>
      </x:c>
      <x:c r="D39" s="10" t="n">
        <x:v>0.12</x:v>
      </x:c>
      <x:c r="E39" s="12" t="n">
        <x:v>40</x:v>
      </x:c>
      <x:c r="F39" s="12" t="n">
        <x:v>97.5</x:v>
      </x:c>
      <x:c r="G39" s="11" t="n">
        <x:v>-0.5897435897435898</x:v>
      </x:c>
      <x:c r="H39" s="7" t="str">
        <x:v>Jul 2025:140 | Aug 2025:110 | Sep 2025:170 | Oct 2025:140 | Nov 2025:90 | Dec 2025:50 | Jan 2026:110 | Feb 2026:70 | Mar 2026:90 | Apr 2026:90 | May 2026:70 | Jun 2026:40</x:v>
      </x:c>
    </x:row>
    <x:row r="40" ht="19" customHeight="1">
      <x:c r="A40" s="7" t="str">
        <x:v>hydraulic motor replacement</x:v>
      </x:c>
      <x:c r="B40" s="8" t="n">
        <x:v>0</x:v>
      </x:c>
      <x:c r="C40" s="9" t="n">
        <x:v>0</x:v>
      </x:c>
      <x:c r="D40" s="10" t="n">
        <x:v>0</x:v>
      </x:c>
      <x:c r="E40" s="12" t="n">
        <x:v>0</x:v>
      </x:c>
      <x:c r="F40" s="12" t="n">
        <x:v>0</x:v>
      </x:c>
      <x:c r="G40" s="11" t="n">
        <x:v>0</x:v>
      </x:c>
      <x:c r="H40" s="7" t="str"/>
    </x:row>
    <x:row r="41" ht="19" customHeight="1">
      <x:c r="A41" s="7" t="str">
        <x:v>hydraulic motor aftermarket</x:v>
      </x:c>
      <x:c r="B41" s="8" t="n">
        <x:v>0</x:v>
      </x:c>
      <x:c r="C41" s="9" t="n">
        <x:v>0</x:v>
      </x:c>
      <x:c r="D41" s="10" t="n">
        <x:v>0</x:v>
      </x:c>
      <x:c r="E41" s="12" t="n">
        <x:v>0</x:v>
      </x:c>
      <x:c r="F41" s="12" t="n">
        <x:v>0</x:v>
      </x:c>
      <x:c r="G41" s="11" t="n">
        <x:v>0</x:v>
      </x:c>
      <x:c r="H41" s="7" t="str"/>
    </x:row>
    <x:row r="42" ht="19" customHeight="1">
      <x:c r="A42" s="7" t="str">
        <x:v>hydraulic motor in stock</x:v>
      </x:c>
      <x:c r="B42" s="8" t="n">
        <x:v>0</x:v>
      </x:c>
      <x:c r="C42" s="9" t="n">
        <x:v>0</x:v>
      </x:c>
      <x:c r="D42" s="10" t="n">
        <x:v>0</x:v>
      </x:c>
      <x:c r="E42" s="12" t="n">
        <x:v>0</x:v>
      </x:c>
      <x:c r="F42" s="12" t="n">
        <x:v>0</x:v>
      </x:c>
      <x:c r="G42" s="11" t="n">
        <x:v>0</x:v>
      </x:c>
      <x:c r="H42" s="7" t="str"/>
    </x:row>
    <x:row r="43" ht="19" customHeight="1">
      <x:c r="A43" s="7" t="str">
        <x:v>orbital hydraulic motor</x:v>
      </x:c>
      <x:c r="B43" s="8" t="n">
        <x:v>390</x:v>
      </x:c>
      <x:c r="C43" s="9" t="n">
        <x:v>0.41</x:v>
      </x:c>
      <x:c r="D43" s="10" t="n">
        <x:v>1</x:v>
      </x:c>
      <x:c r="E43" s="12" t="n">
        <x:v>320</x:v>
      </x:c>
      <x:c r="F43" s="12" t="n">
        <x:v>368.3333333333333</x:v>
      </x:c>
      <x:c r="G43" s="11" t="n">
        <x:v>-0.13122171945701352</x:v>
      </x:c>
      <x:c r="H43" s="7" t="str">
        <x:v>Jul 2025:320 | Aug 2025:390 | Sep 2025:390 | Oct 2025:480 | Nov 2025:390 | Dec 2025:320 | Jan 2026:320 | Feb 2026:390 | Mar 2026:390 | Apr 2026:390 | May 2026:320 | Jun 2026:320</x:v>
      </x:c>
    </x:row>
    <x:row r="44" ht="19" customHeight="1">
      <x:c r="A44" s="7" t="str">
        <x:v>orbital hydraulic motor supplier</x:v>
      </x:c>
      <x:c r="B44" s="8" t="n">
        <x:v>0</x:v>
      </x:c>
      <x:c r="C44" s="9" t="n">
        <x:v>0</x:v>
      </x:c>
      <x:c r="D44" s="10" t="n">
        <x:v>0</x:v>
      </x:c>
      <x:c r="E44" s="12" t="n">
        <x:v>0</x:v>
      </x:c>
      <x:c r="F44" s="12" t="n">
        <x:v>0</x:v>
      </x:c>
      <x:c r="G44" s="11" t="n">
        <x:v>0</x:v>
      </x:c>
      <x:c r="H44" s="7" t="str"/>
    </x:row>
    <x:row r="45" ht="19" customHeight="1">
      <x:c r="A45" s="7" t="str">
        <x:v>orbital hydraulic motor manufacturer</x:v>
      </x:c>
      <x:c r="B45" s="8" t="n">
        <x:v>0</x:v>
      </x:c>
      <x:c r="C45" s="9" t="n">
        <x:v>0</x:v>
      </x:c>
      <x:c r="D45" s="10" t="n">
        <x:v>0</x:v>
      </x:c>
      <x:c r="E45" s="12" t="n">
        <x:v>0</x:v>
      </x:c>
      <x:c r="F45" s="12" t="n">
        <x:v>0</x:v>
      </x:c>
      <x:c r="G45" s="11" t="n">
        <x:v>0</x:v>
      </x:c>
      <x:c r="H45" s="7" t="str"/>
    </x:row>
    <x:row r="46" ht="19" customHeight="1">
      <x:c r="A46" s="7" t="str">
        <x:v>orbital hydraulic motor replacement</x:v>
      </x:c>
      <x:c r="B46" s="8" t="n">
        <x:v>0</x:v>
      </x:c>
      <x:c r="C46" s="9" t="n">
        <x:v>0</x:v>
      </x:c>
      <x:c r="D46" s="10" t="n">
        <x:v>0</x:v>
      </x:c>
      <x:c r="E46" s="12" t="n">
        <x:v>0</x:v>
      </x:c>
      <x:c r="F46" s="12" t="n">
        <x:v>0</x:v>
      </x:c>
      <x:c r="G46" s="11" t="n">
        <x:v>0</x:v>
      </x:c>
      <x:c r="H46" s="7" t="str"/>
    </x:row>
    <x:row r="47" ht="19" customHeight="1">
      <x:c r="A47" s="7" t="str">
        <x:v>orbital hydraulic motor aftermarket</x:v>
      </x:c>
      <x:c r="B47" s="8" t="n">
        <x:v>0</x:v>
      </x:c>
      <x:c r="C47" s="9" t="n">
        <x:v>0</x:v>
      </x:c>
      <x:c r="D47" s="10" t="n">
        <x:v>0</x:v>
      </x:c>
      <x:c r="E47" s="12" t="n">
        <x:v>0</x:v>
      </x:c>
      <x:c r="F47" s="12" t="n">
        <x:v>0</x:v>
      </x:c>
      <x:c r="G47" s="11" t="n">
        <x:v>0</x:v>
      </x:c>
      <x:c r="H47" s="7" t="str"/>
    </x:row>
    <x:row r="48" ht="19" customHeight="1">
      <x:c r="A48" s="7" t="str">
        <x:v>orbital hydraulic motor in stock</x:v>
      </x:c>
      <x:c r="B48" s="8" t="n">
        <x:v>0</x:v>
      </x:c>
      <x:c r="C48" s="9" t="n">
        <x:v>0</x:v>
      </x:c>
      <x:c r="D48" s="10" t="n">
        <x:v>0</x:v>
      </x:c>
      <x:c r="E48" s="12" t="n">
        <x:v>0</x:v>
      </x:c>
      <x:c r="F48" s="12" t="n">
        <x:v>0</x:v>
      </x:c>
      <x:c r="G48" s="11" t="n">
        <x:v>0</x:v>
      </x:c>
      <x:c r="H48" s="7" t="str"/>
    </x:row>
    <x:row r="49" ht="19" customHeight="1">
      <x:c r="A49" s="7" t="str">
        <x:v>radial piston motor</x:v>
      </x:c>
      <x:c r="B49" s="8" t="n">
        <x:v>170</x:v>
      </x:c>
      <x:c r="C49" s="9" t="n">
        <x:v>0.37</x:v>
      </x:c>
      <x:c r="D49" s="10" t="n">
        <x:v>0.44</x:v>
      </x:c>
      <x:c r="E49" s="12" t="n">
        <x:v>50</x:v>
      </x:c>
      <x:c r="F49" s="12" t="n">
        <x:v>170.83333333333334</x:v>
      </x:c>
      <x:c r="G49" s="11" t="n">
        <x:v>-0.7073170731707317</x:v>
      </x:c>
      <x:c r="H49" s="7" t="str">
        <x:v>Jul 2025:110 | Aug 2025:110 | Sep 2025:260 | Oct 2025:480 | Nov 2025:320 | Dec 2025:210 | Jan 2026:170 | Feb 2026:90 | Mar 2026:90 | Apr 2026:70 | May 2026:90 | Jun 2026:50</x:v>
      </x:c>
    </x:row>
    <x:row r="50" ht="19" customHeight="1">
      <x:c r="A50" s="7" t="str">
        <x:v>radial piston motor supplier</x:v>
      </x:c>
      <x:c r="B50" s="8" t="n">
        <x:v>0</x:v>
      </x:c>
      <x:c r="C50" s="9" t="n">
        <x:v>0</x:v>
      </x:c>
      <x:c r="D50" s="10" t="n">
        <x:v>0</x:v>
      </x:c>
      <x:c r="E50" s="12" t="n">
        <x:v>0</x:v>
      </x:c>
      <x:c r="F50" s="12" t="n">
        <x:v>0</x:v>
      </x:c>
      <x:c r="G50" s="11" t="n">
        <x:v>0</x:v>
      </x:c>
      <x:c r="H50" s="7" t="str"/>
    </x:row>
    <x:row r="51" ht="19" customHeight="1">
      <x:c r="A51" s="7" t="str">
        <x:v>radial piston motor manufacturer</x:v>
      </x:c>
      <x:c r="B51" s="8" t="n">
        <x:v>0</x:v>
      </x:c>
      <x:c r="C51" s="9" t="n">
        <x:v>0</x:v>
      </x:c>
      <x:c r="D51" s="10" t="n">
        <x:v>0</x:v>
      </x:c>
      <x:c r="E51" s="12" t="n">
        <x:v>0</x:v>
      </x:c>
      <x:c r="F51" s="12" t="n">
        <x:v>0</x:v>
      </x:c>
      <x:c r="G51" s="11" t="n">
        <x:v>0</x:v>
      </x:c>
      <x:c r="H51" s="7" t="str"/>
    </x:row>
    <x:row r="52" ht="19" customHeight="1">
      <x:c r="A52" s="7" t="str">
        <x:v>radial piston motor replacement</x:v>
      </x:c>
      <x:c r="B52" s="8" t="n">
        <x:v>0</x:v>
      </x:c>
      <x:c r="C52" s="9" t="n">
        <x:v>0</x:v>
      </x:c>
      <x:c r="D52" s="10" t="n">
        <x:v>0</x:v>
      </x:c>
      <x:c r="E52" s="12" t="n">
        <x:v>0</x:v>
      </x:c>
      <x:c r="F52" s="12" t="n">
        <x:v>0</x:v>
      </x:c>
      <x:c r="G52" s="11" t="n">
        <x:v>0</x:v>
      </x:c>
      <x:c r="H52" s="7" t="str"/>
    </x:row>
    <x:row r="53" ht="19" customHeight="1">
      <x:c r="A53" s="7" t="str">
        <x:v>radial piston motor aftermarket</x:v>
      </x:c>
      <x:c r="B53" s="8" t="n">
        <x:v>0</x:v>
      </x:c>
      <x:c r="C53" s="9" t="n">
        <x:v>0</x:v>
      </x:c>
      <x:c r="D53" s="10" t="n">
        <x:v>0</x:v>
      </x:c>
      <x:c r="E53" s="12" t="n">
        <x:v>0</x:v>
      </x:c>
      <x:c r="F53" s="12" t="n">
        <x:v>0</x:v>
      </x:c>
      <x:c r="G53" s="11" t="n">
        <x:v>0</x:v>
      </x:c>
      <x:c r="H53" s="7" t="str"/>
    </x:row>
    <x:row r="54" ht="19" customHeight="1">
      <x:c r="A54" s="7" t="str">
        <x:v>radial piston motor in stock</x:v>
      </x:c>
      <x:c r="B54" s="8" t="n">
        <x:v>0</x:v>
      </x:c>
      <x:c r="C54" s="9" t="n">
        <x:v>0</x:v>
      </x:c>
      <x:c r="D54" s="10" t="n">
        <x:v>0</x:v>
      </x:c>
      <x:c r="E54" s="12" t="n">
        <x:v>0</x:v>
      </x:c>
      <x:c r="F54" s="12" t="n">
        <x:v>0</x:v>
      </x:c>
      <x:c r="G54" s="11" t="n">
        <x:v>0</x:v>
      </x:c>
      <x:c r="H54" s="7" t="str"/>
    </x:row>
    <x:row r="55" ht="19" customHeight="1">
      <x:c r="A55" s="7" t="str">
        <x:v>hydraulic valve</x:v>
      </x:c>
      <x:c r="B55" s="8" t="n">
        <x:v>2400</x:v>
      </x:c>
      <x:c r="C55" s="9" t="n">
        <x:v>0.38</x:v>
      </x:c>
      <x:c r="D55" s="10" t="n">
        <x:v>1</x:v>
      </x:c>
      <x:c r="E55" s="12" t="n">
        <x:v>1900</x:v>
      </x:c>
      <x:c r="F55" s="12" t="n">
        <x:v>2316.6666666666665</x:v>
      </x:c>
      <x:c r="G55" s="11" t="n">
        <x:v>-0.1798561151079136</x:v>
      </x:c>
      <x:c r="H55" s="7" t="str">
        <x:v>Jul 2025:2400 | Aug 2025:2400 | Sep 2025:2900 | Oct 2025:2900 | Nov 2025:2900 | Dec 2025:1900 | Jan 2026:1900 | Feb 2026:2400 | Mar 2026:1900 | Apr 2026:2400 | May 2026:1900 | Jun 2026:1900</x:v>
      </x:c>
    </x:row>
    <x:row r="56" ht="19" customHeight="1">
      <x:c r="A56" s="7" t="str">
        <x:v>hydraulic valve supplier</x:v>
      </x:c>
      <x:c r="B56" s="8" t="n">
        <x:v>110</x:v>
      </x:c>
      <x:c r="C56" s="9" t="n">
        <x:v>1.19</x:v>
      </x:c>
      <x:c r="D56" s="10" t="n">
        <x:v>0.48</x:v>
      </x:c>
      <x:c r="E56" s="12" t="n">
        <x:v>50</x:v>
      </x:c>
      <x:c r="F56" s="12" t="n">
        <x:v>111.66666666666667</x:v>
      </x:c>
      <x:c r="G56" s="11" t="n">
        <x:v>-0.5522388059701493</x:v>
      </x:c>
      <x:c r="H56" s="7" t="str">
        <x:v>Jul 2025:90 | Aug 2025:70 | Sep 2025:90 | Oct 2025:320 | Nov 2025:70 | Dec 2025:90 | Jan 2026:140 | Feb 2026:90 | Mar 2026:70 | Apr 2026:170 | May 2026:90 | Jun 2026:50</x:v>
      </x:c>
    </x:row>
    <x:row r="57" ht="19" customHeight="1">
      <x:c r="A57" s="7" t="str">
        <x:v>hydraulic valve manufacturer</x:v>
      </x:c>
      <x:c r="B57" s="8" t="n">
        <x:v>110</x:v>
      </x:c>
      <x:c r="C57" s="9" t="n">
        <x:v>1.19</x:v>
      </x:c>
      <x:c r="D57" s="10" t="n">
        <x:v>0.48</x:v>
      </x:c>
      <x:c r="E57" s="12" t="n">
        <x:v>50</x:v>
      </x:c>
      <x:c r="F57" s="12" t="n">
        <x:v>111.66666666666667</x:v>
      </x:c>
      <x:c r="G57" s="11" t="n">
        <x:v>-0.5522388059701493</x:v>
      </x:c>
      <x:c r="H57" s="7" t="str">
        <x:v>Jul 2025:90 | Aug 2025:70 | Sep 2025:90 | Oct 2025:320 | Nov 2025:70 | Dec 2025:90 | Jan 2026:140 | Feb 2026:90 | Mar 2026:70 | Apr 2026:170 | May 2026:90 | Jun 2026:50</x:v>
      </x:c>
    </x:row>
    <x:row r="58" ht="19" customHeight="1">
      <x:c r="A58" s="7" t="str">
        <x:v>hydraulic valve replacement</x:v>
      </x:c>
      <x:c r="B58" s="8" t="n">
        <x:v>0</x:v>
      </x:c>
      <x:c r="C58" s="9" t="n">
        <x:v>0</x:v>
      </x:c>
      <x:c r="D58" s="10" t="n">
        <x:v>0</x:v>
      </x:c>
      <x:c r="E58" s="12" t="n">
        <x:v>0</x:v>
      </x:c>
      <x:c r="F58" s="12" t="n">
        <x:v>0</x:v>
      </x:c>
      <x:c r="G58" s="11" t="n">
        <x:v>0</x:v>
      </x:c>
      <x:c r="H58" s="7" t="str"/>
    </x:row>
    <x:row r="59" ht="19" customHeight="1">
      <x:c r="A59" s="7" t="str">
        <x:v>hydraulic valve aftermarket</x:v>
      </x:c>
      <x:c r="B59" s="8" t="n">
        <x:v>0</x:v>
      </x:c>
      <x:c r="C59" s="9" t="n">
        <x:v>0</x:v>
      </x:c>
      <x:c r="D59" s="10" t="n">
        <x:v>0</x:v>
      </x:c>
      <x:c r="E59" s="12" t="n">
        <x:v>0</x:v>
      </x:c>
      <x:c r="F59" s="12" t="n">
        <x:v>0</x:v>
      </x:c>
      <x:c r="G59" s="11" t="n">
        <x:v>0</x:v>
      </x:c>
      <x:c r="H59" s="7" t="str"/>
    </x:row>
    <x:row r="60" ht="19" customHeight="1">
      <x:c r="A60" s="7" t="str">
        <x:v>hydraulic valve in stock</x:v>
      </x:c>
      <x:c r="B60" s="8" t="n">
        <x:v>0</x:v>
      </x:c>
      <x:c r="C60" s="9" t="n">
        <x:v>0</x:v>
      </x:c>
      <x:c r="D60" s="10" t="n">
        <x:v>0</x:v>
      </x:c>
      <x:c r="E60" s="12" t="n">
        <x:v>0</x:v>
      </x:c>
      <x:c r="F60" s="12" t="n">
        <x:v>0</x:v>
      </x:c>
      <x:c r="G60" s="11" t="n">
        <x:v>0</x:v>
      </x:c>
      <x:c r="H60" s="7" t="str"/>
    </x:row>
    <x:row r="61" ht="19" customHeight="1">
      <x:c r="A61" s="7" t="str">
        <x:v>directional control valve</x:v>
      </x:c>
      <x:c r="B61" s="8" t="n">
        <x:v>1600</x:v>
      </x:c>
      <x:c r="C61" s="9" t="n">
        <x:v>0.98</x:v>
      </x:c>
      <x:c r="D61" s="10" t="n">
        <x:v>1</x:v>
      </x:c>
      <x:c r="E61" s="12" t="n">
        <x:v>1000</x:v>
      </x:c>
      <x:c r="F61" s="12" t="n">
        <x:v>1716.6666666666667</x:v>
      </x:c>
      <x:c r="G61" s="11" t="n">
        <x:v>-0.41747572815533984</x:v>
      </x:c>
      <x:c r="H61" s="7" t="str">
        <x:v>Jul 2025:1600 | Aug 2025:1900 | Sep 2025:1900 | Oct 2025:1900 | Nov 2025:1600 | Dec 2025:1600 | Jan 2026:1600 | Feb 2026:1900 | Mar 2026:2400 | Apr 2026:1900 | May 2026:1300 | Jun 2026:1000</x:v>
      </x:c>
    </x:row>
    <x:row r="62" ht="19" customHeight="1">
      <x:c r="A62" s="7" t="str">
        <x:v>directional control valve supplier</x:v>
      </x:c>
      <x:c r="B62" s="8" t="n">
        <x:v>10</x:v>
      </x:c>
      <x:c r="C62" s="9" t="n">
        <x:v>0</x:v>
      </x:c>
      <x:c r="D62" s="10" t="n">
        <x:v>0.29</x:v>
      </x:c>
      <x:c r="E62" s="12" t="n">
        <x:v>10</x:v>
      </x:c>
      <x:c r="F62" s="12" t="n">
        <x:v>15</x:v>
      </x:c>
      <x:c r="G62" s="11" t="n">
        <x:v>-0.3333333333333333</x:v>
      </x:c>
      <x:c r="H62" s="7" t="str">
        <x:v>Jul 2025:20 | Aug 2025:20 | Sep 2025:10 | Oct 2025:10 | Nov 2025:10 | Dec 2025:20 | Jan 2026:20 | Feb 2026:20 | Mar 2026:20 | Apr 2026:10 | May 2026:10 | Jun 2026:10</x:v>
      </x:c>
    </x:row>
    <x:row r="63" ht="19" customHeight="1">
      <x:c r="A63" s="7" t="str">
        <x:v>directional control valve manufacturer</x:v>
      </x:c>
      <x:c r="B63" s="8" t="n">
        <x:v>10</x:v>
      </x:c>
      <x:c r="C63" s="9" t="n">
        <x:v>0</x:v>
      </x:c>
      <x:c r="D63" s="10" t="n">
        <x:v>0.29</x:v>
      </x:c>
      <x:c r="E63" s="12" t="n">
        <x:v>10</x:v>
      </x:c>
      <x:c r="F63" s="12" t="n">
        <x:v>15</x:v>
      </x:c>
      <x:c r="G63" s="11" t="n">
        <x:v>-0.3333333333333333</x:v>
      </x:c>
      <x:c r="H63" s="7" t="str">
        <x:v>Jul 2025:20 | Aug 2025:20 | Sep 2025:10 | Oct 2025:10 | Nov 2025:10 | Dec 2025:20 | Jan 2026:20 | Feb 2026:20 | Mar 2026:20 | Apr 2026:10 | May 2026:10 | Jun 2026:10</x:v>
      </x:c>
    </x:row>
    <x:row r="64" ht="19" customHeight="1">
      <x:c r="A64" s="7" t="str">
        <x:v>directional control valve replacement</x:v>
      </x:c>
      <x:c r="B64" s="8" t="n">
        <x:v>0</x:v>
      </x:c>
      <x:c r="C64" s="9" t="n">
        <x:v>0</x:v>
      </x:c>
      <x:c r="D64" s="10" t="n">
        <x:v>0</x:v>
      </x:c>
      <x:c r="E64" s="12" t="n">
        <x:v>0</x:v>
      </x:c>
      <x:c r="F64" s="12" t="n">
        <x:v>0</x:v>
      </x:c>
      <x:c r="G64" s="11" t="n">
        <x:v>0</x:v>
      </x:c>
      <x:c r="H64" s="7" t="str"/>
    </x:row>
    <x:row r="65" ht="19" customHeight="1">
      <x:c r="A65" s="7" t="str">
        <x:v>directional control valve aftermarket</x:v>
      </x:c>
      <x:c r="B65" s="8" t="n">
        <x:v>0</x:v>
      </x:c>
      <x:c r="C65" s="9" t="n">
        <x:v>0</x:v>
      </x:c>
      <x:c r="D65" s="10" t="n">
        <x:v>0</x:v>
      </x:c>
      <x:c r="E65" s="12" t="n">
        <x:v>0</x:v>
      </x:c>
      <x:c r="F65" s="12" t="n">
        <x:v>0</x:v>
      </x:c>
      <x:c r="G65" s="11" t="n">
        <x:v>0</x:v>
      </x:c>
      <x:c r="H65" s="7" t="str"/>
    </x:row>
    <x:row r="66" ht="19" customHeight="1">
      <x:c r="A66" s="7" t="str">
        <x:v>directional control valve in stock</x:v>
      </x:c>
      <x:c r="B66" s="8" t="n">
        <x:v>0</x:v>
      </x:c>
      <x:c r="C66" s="9" t="n">
        <x:v>0</x:v>
      </x:c>
      <x:c r="D66" s="10" t="n">
        <x:v>0</x:v>
      </x:c>
      <x:c r="E66" s="12" t="n">
        <x:v>0</x:v>
      </x:c>
      <x:c r="F66" s="12" t="n">
        <x:v>0</x:v>
      </x:c>
      <x:c r="G66" s="11" t="n">
        <x:v>0</x:v>
      </x:c>
      <x:c r="H66" s="7" t="str"/>
    </x:row>
    <x:row r="67" ht="19" customHeight="1">
      <x:c r="A67" s="7" t="str">
        <x:v>solenoid directional valve</x:v>
      </x:c>
      <x:c r="B67" s="8" t="n">
        <x:v>70</x:v>
      </x:c>
      <x:c r="C67" s="9" t="n">
        <x:v>1.21</x:v>
      </x:c>
      <x:c r="D67" s="10" t="n">
        <x:v>0.98</x:v>
      </x:c>
      <x:c r="E67" s="12" t="n">
        <x:v>70</x:v>
      </x:c>
      <x:c r="F67" s="12" t="n">
        <x:v>71.66666666666667</x:v>
      </x:c>
      <x:c r="G67" s="11" t="n">
        <x:v>-0.023255813953488438</x:v>
      </x:c>
      <x:c r="H67" s="7" t="str">
        <x:v>Jul 2025:70 | Aug 2025:90 | Sep 2025:90 | Oct 2025:70 | Nov 2025:70 | Dec 2025:70 | Jan 2026:70 | Feb 2026:50 | Mar 2026:70 | Apr 2026:50 | May 2026:90 | Jun 2026:70</x:v>
      </x:c>
    </x:row>
    <x:row r="68" ht="19" customHeight="1">
      <x:c r="A68" s="7" t="str">
        <x:v>solenoid directional valve supplier</x:v>
      </x:c>
      <x:c r="B68" s="8" t="n">
        <x:v>0</x:v>
      </x:c>
      <x:c r="C68" s="9" t="n">
        <x:v>0</x:v>
      </x:c>
      <x:c r="D68" s="10" t="n">
        <x:v>0</x:v>
      </x:c>
      <x:c r="E68" s="12" t="n">
        <x:v>0</x:v>
      </x:c>
      <x:c r="F68" s="12" t="n">
        <x:v>0</x:v>
      </x:c>
      <x:c r="G68" s="11" t="n">
        <x:v>0</x:v>
      </x:c>
      <x:c r="H68" s="7" t="str"/>
    </x:row>
    <x:row r="69" ht="19" customHeight="1">
      <x:c r="A69" s="7" t="str">
        <x:v>solenoid directional valve manufacturer</x:v>
      </x:c>
      <x:c r="B69" s="8" t="n">
        <x:v>0</x:v>
      </x:c>
      <x:c r="C69" s="9" t="n">
        <x:v>0</x:v>
      </x:c>
      <x:c r="D69" s="10" t="n">
        <x:v>0</x:v>
      </x:c>
      <x:c r="E69" s="12" t="n">
        <x:v>0</x:v>
      </x:c>
      <x:c r="F69" s="12" t="n">
        <x:v>0</x:v>
      </x:c>
      <x:c r="G69" s="11" t="n">
        <x:v>0</x:v>
      </x:c>
      <x:c r="H69" s="7" t="str"/>
    </x:row>
    <x:row r="70" ht="19" customHeight="1">
      <x:c r="A70" s="7" t="str">
        <x:v>solenoid directional valve replacement</x:v>
      </x:c>
      <x:c r="B70" s="8" t="n">
        <x:v>0</x:v>
      </x:c>
      <x:c r="C70" s="9" t="n">
        <x:v>0</x:v>
      </x:c>
      <x:c r="D70" s="10" t="n">
        <x:v>0</x:v>
      </x:c>
      <x:c r="E70" s="12" t="n">
        <x:v>0</x:v>
      </x:c>
      <x:c r="F70" s="12" t="n">
        <x:v>0</x:v>
      </x:c>
      <x:c r="G70" s="11" t="n">
        <x:v>0</x:v>
      </x:c>
      <x:c r="H70" s="7" t="str"/>
    </x:row>
    <x:row r="71" ht="19" customHeight="1">
      <x:c r="A71" s="7" t="str">
        <x:v>solenoid directional valve aftermarket</x:v>
      </x:c>
      <x:c r="B71" s="8" t="n">
        <x:v>0</x:v>
      </x:c>
      <x:c r="C71" s="9" t="n">
        <x:v>0</x:v>
      </x:c>
      <x:c r="D71" s="10" t="n">
        <x:v>0</x:v>
      </x:c>
      <x:c r="E71" s="12" t="n">
        <x:v>0</x:v>
      </x:c>
      <x:c r="F71" s="12" t="n">
        <x:v>0</x:v>
      </x:c>
      <x:c r="G71" s="11" t="n">
        <x:v>0</x:v>
      </x:c>
      <x:c r="H71" s="7" t="str"/>
    </x:row>
    <x:row r="72" ht="19" customHeight="1">
      <x:c r="A72" s="7" t="str">
        <x:v>solenoid directional valve in stock</x:v>
      </x:c>
      <x:c r="B72" s="8" t="n">
        <x:v>0</x:v>
      </x:c>
      <x:c r="C72" s="9" t="n">
        <x:v>0</x:v>
      </x:c>
      <x:c r="D72" s="10" t="n">
        <x:v>0</x:v>
      </x:c>
      <x:c r="E72" s="12" t="n">
        <x:v>0</x:v>
      </x:c>
      <x:c r="F72" s="12" t="n">
        <x:v>0</x:v>
      </x:c>
      <x:c r="G72" s="11" t="n">
        <x:v>0</x:v>
      </x:c>
      <x:c r="H72" s="7" t="str"/>
    </x:row>
    <x:row r="73" ht="19" customHeight="1">
      <x:c r="A73" s="7" t="str">
        <x:v>pressure control valve</x:v>
      </x:c>
      <x:c r="B73" s="8" t="n">
        <x:v>1300</x:v>
      </x:c>
      <x:c r="C73" s="9" t="n">
        <x:v>0.97</x:v>
      </x:c>
      <x:c r="D73" s="10" t="n">
        <x:v>0.92</x:v>
      </x:c>
      <x:c r="E73" s="12" t="n">
        <x:v>1000</x:v>
      </x:c>
      <x:c r="F73" s="12" t="n">
        <x:v>1250</x:v>
      </x:c>
      <x:c r="G73" s="11" t="n">
        <x:v>-0.2</x:v>
      </x:c>
      <x:c r="H73" s="7" t="str">
        <x:v>Jul 2025:1300 | Aug 2025:1300 | Sep 2025:1300 | Oct 2025:1300 | Nov 2025:1900 | Dec 2025:1300 | Jan 2026:1000 | Feb 2026:1000 | Mar 2026:1000 | Apr 2026:1300 | May 2026:1300 | Jun 2026:1000</x:v>
      </x:c>
    </x:row>
    <x:row r="74" ht="19" customHeight="1">
      <x:c r="A74" s="7" t="str">
        <x:v>pressure control valve supplier</x:v>
      </x:c>
      <x:c r="B74" s="8" t="n">
        <x:v>10</x:v>
      </x:c>
      <x:c r="C74" s="9" t="n">
        <x:v>0</x:v>
      </x:c>
      <x:c r="D74" s="10" t="n">
        <x:v>0.33</x:v>
      </x:c>
      <x:c r="E74" s="12" t="n">
        <x:v>10</x:v>
      </x:c>
      <x:c r="F74" s="12" t="n">
        <x:v>9.166666666666666</x:v>
      </x:c>
      <x:c r="G74" s="11" t="n">
        <x:v>0.09090909090909098</x:v>
      </x:c>
      <x:c r="H74" s="7" t="str">
        <x:v>Jul 2025:10 | Aug 2025:10 | Sep 2025:10 | Oct 2025:10 | Nov 2025:0 | Dec 2025:10 | Jan 2026:10 | Feb 2026:0 | Mar 2026:10 | Apr 2026:20 | May 2026:10 | Jun 2026:10</x:v>
      </x:c>
    </x:row>
    <x:row r="75" ht="19" customHeight="1">
      <x:c r="A75" s="7" t="str">
        <x:v>pressure control valve manufacturer</x:v>
      </x:c>
      <x:c r="B75" s="8" t="n">
        <x:v>10</x:v>
      </x:c>
      <x:c r="C75" s="9" t="n">
        <x:v>0</x:v>
      </x:c>
      <x:c r="D75" s="10" t="n">
        <x:v>0.07</x:v>
      </x:c>
      <x:c r="E75" s="12" t="n">
        <x:v>10</x:v>
      </x:c>
      <x:c r="F75" s="12" t="n">
        <x:v>9.166666666666666</x:v>
      </x:c>
      <x:c r="G75" s="11" t="n">
        <x:v>0.09090909090909098</x:v>
      </x:c>
      <x:c r="H75" s="7" t="str">
        <x:v>Jul 2025:10 | Aug 2025:10 | Sep 2025:10 | Oct 2025:10 | Nov 2025:10 | Dec 2025:0 | Jan 2026:10 | Feb 2026:10 | Mar 2026:0 | Apr 2026:10 | May 2026:20 | Jun 2026:10</x:v>
      </x:c>
    </x:row>
    <x:row r="76" ht="19" customHeight="1">
      <x:c r="A76" s="7" t="str">
        <x:v>pressure control valve replacement</x:v>
      </x:c>
      <x:c r="B76" s="8" t="n">
        <x:v>0</x:v>
      </x:c>
      <x:c r="C76" s="9" t="n">
        <x:v>0</x:v>
      </x:c>
      <x:c r="D76" s="10" t="n">
        <x:v>0</x:v>
      </x:c>
      <x:c r="E76" s="12" t="n">
        <x:v>0</x:v>
      </x:c>
      <x:c r="F76" s="12" t="n">
        <x:v>0</x:v>
      </x:c>
      <x:c r="G76" s="11" t="n">
        <x:v>0</x:v>
      </x:c>
      <x:c r="H76" s="7" t="str"/>
    </x:row>
    <x:row r="77" ht="19" customHeight="1">
      <x:c r="A77" s="7" t="str">
        <x:v>pressure control valve aftermarket</x:v>
      </x:c>
      <x:c r="B77" s="8" t="n">
        <x:v>0</x:v>
      </x:c>
      <x:c r="C77" s="9" t="n">
        <x:v>0</x:v>
      </x:c>
      <x:c r="D77" s="10" t="n">
        <x:v>0</x:v>
      </x:c>
      <x:c r="E77" s="12" t="n">
        <x:v>0</x:v>
      </x:c>
      <x:c r="F77" s="12" t="n">
        <x:v>0</x:v>
      </x:c>
      <x:c r="G77" s="11" t="n">
        <x:v>0</x:v>
      </x:c>
      <x:c r="H77" s="7" t="str"/>
    </x:row>
    <x:row r="78" ht="19" customHeight="1">
      <x:c r="A78" s="7" t="str">
        <x:v>pressure control valve in stock</x:v>
      </x:c>
      <x:c r="B78" s="8" t="n">
        <x:v>0</x:v>
      </x:c>
      <x:c r="C78" s="9" t="n">
        <x:v>0</x:v>
      </x:c>
      <x:c r="D78" s="10" t="n">
        <x:v>0</x:v>
      </x:c>
      <x:c r="E78" s="12" t="n">
        <x:v>0</x:v>
      </x:c>
      <x:c r="F78" s="12" t="n">
        <x:v>0</x:v>
      </x:c>
      <x:c r="G78" s="11" t="n">
        <x:v>0</x:v>
      </x:c>
      <x:c r="H78" s="7" t="str"/>
    </x:row>
    <x:row r="79" ht="19" customHeight="1">
      <x:c r="A79" s="7" t="str">
        <x:v>modular hydraulic valve</x:v>
      </x:c>
      <x:c r="B79" s="8" t="n">
        <x:v>0</x:v>
      </x:c>
      <x:c r="C79" s="9" t="n">
        <x:v>0</x:v>
      </x:c>
      <x:c r="D79" s="10" t="n">
        <x:v>0</x:v>
      </x:c>
      <x:c r="E79" s="12" t="n">
        <x:v>0</x:v>
      </x:c>
      <x:c r="F79" s="12" t="n">
        <x:v>0</x:v>
      </x:c>
      <x:c r="G79" s="11" t="n">
        <x:v>0</x:v>
      </x:c>
      <x:c r="H79" s="7" t="str"/>
    </x:row>
    <x:row r="80" ht="19" customHeight="1">
      <x:c r="A80" s="7" t="str">
        <x:v>modular hydraulic valve supplier</x:v>
      </x:c>
      <x:c r="B80" s="8" t="n">
        <x:v>0</x:v>
      </x:c>
      <x:c r="C80" s="9" t="n">
        <x:v>0</x:v>
      </x:c>
      <x:c r="D80" s="10" t="n">
        <x:v>0</x:v>
      </x:c>
      <x:c r="E80" s="12" t="n">
        <x:v>0</x:v>
      </x:c>
      <x:c r="F80" s="12" t="n">
        <x:v>0</x:v>
      </x:c>
      <x:c r="G80" s="11" t="n">
        <x:v>0</x:v>
      </x:c>
      <x:c r="H80" s="7" t="str"/>
    </x:row>
    <x:row r="81" ht="19" customHeight="1">
      <x:c r="A81" s="7" t="str">
        <x:v>modular hydraulic valve manufacturer</x:v>
      </x:c>
      <x:c r="B81" s="8" t="n">
        <x:v>0</x:v>
      </x:c>
      <x:c r="C81" s="9" t="n">
        <x:v>0</x:v>
      </x:c>
      <x:c r="D81" s="10" t="n">
        <x:v>0</x:v>
      </x:c>
      <x:c r="E81" s="12" t="n">
        <x:v>0</x:v>
      </x:c>
      <x:c r="F81" s="12" t="n">
        <x:v>0</x:v>
      </x:c>
      <x:c r="G81" s="11" t="n">
        <x:v>0</x:v>
      </x:c>
      <x:c r="H81" s="7" t="str"/>
    </x:row>
    <x:row r="82" ht="19" customHeight="1">
      <x:c r="A82" s="7" t="str">
        <x:v>modular hydraulic valve replacement</x:v>
      </x:c>
      <x:c r="B82" s="8" t="n">
        <x:v>0</x:v>
      </x:c>
      <x:c r="C82" s="9" t="n">
        <x:v>0</x:v>
      </x:c>
      <x:c r="D82" s="10" t="n">
        <x:v>0</x:v>
      </x:c>
      <x:c r="E82" s="12" t="n">
        <x:v>0</x:v>
      </x:c>
      <x:c r="F82" s="12" t="n">
        <x:v>0</x:v>
      </x:c>
      <x:c r="G82" s="11" t="n">
        <x:v>0</x:v>
      </x:c>
      <x:c r="H82" s="7" t="str"/>
    </x:row>
    <x:row r="83" ht="19" customHeight="1">
      <x:c r="A83" s="7" t="str">
        <x:v>modular hydraulic valve aftermarket</x:v>
      </x:c>
      <x:c r="B83" s="8" t="n">
        <x:v>0</x:v>
      </x:c>
      <x:c r="C83" s="9" t="n">
        <x:v>0</x:v>
      </x:c>
      <x:c r="D83" s="10" t="n">
        <x:v>0</x:v>
      </x:c>
      <x:c r="E83" s="12" t="n">
        <x:v>0</x:v>
      </x:c>
      <x:c r="F83" s="12" t="n">
        <x:v>0</x:v>
      </x:c>
      <x:c r="G83" s="11" t="n">
        <x:v>0</x:v>
      </x:c>
      <x:c r="H83" s="7" t="str"/>
    </x:row>
    <x:row r="84" ht="19" customHeight="1">
      <x:c r="A84" s="7" t="str">
        <x:v>modular hydraulic valve in stock</x:v>
      </x:c>
      <x:c r="B84" s="8" t="n">
        <x:v>0</x:v>
      </x:c>
      <x:c r="C84" s="9" t="n">
        <x:v>0</x:v>
      </x:c>
      <x:c r="D84" s="10" t="n">
        <x:v>0</x:v>
      </x:c>
      <x:c r="E84" s="12" t="n">
        <x:v>0</x:v>
      </x:c>
      <x:c r="F84" s="12" t="n">
        <x:v>0</x:v>
      </x:c>
      <x:c r="G84" s="11" t="n">
        <x:v>0</x:v>
      </x:c>
      <x:c r="H84" s="7" t="str"/>
    </x:row>
    <x:row r="85" ht="19" customHeight="1">
      <x:c r="A85" s="7" t="str">
        <x:v>hydraulic cylinder</x:v>
      </x:c>
      <x:c r="B85" s="8" t="n">
        <x:v>14800</x:v>
      </x:c>
      <x:c r="C85" s="9" t="n">
        <x:v>0.41</x:v>
      </x:c>
      <x:c r="D85" s="10" t="n">
        <x:v>1</x:v>
      </x:c>
      <x:c r="E85" s="12" t="n">
        <x:v>14800</x:v>
      </x:c>
      <x:c r="F85" s="12" t="n">
        <x:v>16450</x:v>
      </x:c>
      <x:c r="G85" s="11" t="n">
        <x:v>-0.10030395136778116</x:v>
      </x:c>
      <x:c r="H85" s="7" t="str">
        <x:v>Jul 2025:18100 | Aug 2025:14800 | Sep 2025:18100 | Oct 2025:18100 | Nov 2025:18100 | Dec 2025:14800 | Jan 2026:14800 | Feb 2026:14800 | Mar 2026:14800 | Apr 2026:18100 | May 2026:18100 | Jun 2026:14800</x:v>
      </x:c>
    </x:row>
    <x:row r="86" ht="19" customHeight="1">
      <x:c r="A86" s="7" t="str">
        <x:v>hydraulic cylinder supplier</x:v>
      </x:c>
      <x:c r="B86" s="8" t="n">
        <x:v>590</x:v>
      </x:c>
      <x:c r="C86" s="9" t="n">
        <x:v>1.85</x:v>
      </x:c>
      <x:c r="D86" s="10" t="n">
        <x:v>0.27</x:v>
      </x:c>
      <x:c r="E86" s="12" t="n">
        <x:v>590</x:v>
      </x:c>
      <x:c r="F86" s="12" t="n">
        <x:v>645.8333333333334</x:v>
      </x:c>
      <x:c r="G86" s="11" t="n">
        <x:v>-0.08645161290322587</x:v>
      </x:c>
      <x:c r="H86" s="7" t="str">
        <x:v>Jul 2025:590 | Aug 2025:720 | Sep 2025:880 | Oct 2025:1000 | Nov 2025:590 | Dec 2025:390 | Jan 2026:480 | Feb 2026:480 | Mar 2026:590 | Apr 2026:720 | May 2026:720 | Jun 2026:590</x:v>
      </x:c>
    </x:row>
    <x:row r="87" ht="19" customHeight="1">
      <x:c r="A87" s="7" t="str">
        <x:v>hydraulic cylinder manufacturer</x:v>
      </x:c>
      <x:c r="B87" s="8" t="n">
        <x:v>590</x:v>
      </x:c>
      <x:c r="C87" s="9" t="n">
        <x:v>1.85</x:v>
      </x:c>
      <x:c r="D87" s="10" t="n">
        <x:v>0.27</x:v>
      </x:c>
      <x:c r="E87" s="12" t="n">
        <x:v>590</x:v>
      </x:c>
      <x:c r="F87" s="12" t="n">
        <x:v>645.8333333333334</x:v>
      </x:c>
      <x:c r="G87" s="11" t="n">
        <x:v>-0.08645161290322587</x:v>
      </x:c>
      <x:c r="H87" s="7" t="str">
        <x:v>Jul 2025:590 | Aug 2025:720 | Sep 2025:880 | Oct 2025:1000 | Nov 2025:590 | Dec 2025:390 | Jan 2026:480 | Feb 2026:480 | Mar 2026:590 | Apr 2026:720 | May 2026:720 | Jun 2026:590</x:v>
      </x:c>
    </x:row>
    <x:row r="88" ht="19" customHeight="1">
      <x:c r="A88" s="7" t="str">
        <x:v>hydraulic cylinder replacement</x:v>
      </x:c>
      <x:c r="B88" s="8" t="n">
        <x:v>320</x:v>
      </x:c>
      <x:c r="C88" s="9" t="n">
        <x:v>0.39</x:v>
      </x:c>
      <x:c r="D88" s="10" t="n">
        <x:v>0.99</x:v>
      </x:c>
      <x:c r="E88" s="12" t="n">
        <x:v>320</x:v>
      </x:c>
      <x:c r="F88" s="12" t="n">
        <x:v>313.3333333333333</x:v>
      </x:c>
      <x:c r="G88" s="11" t="n">
        <x:v>0.021276595744680913</x:v>
      </x:c>
      <x:c r="H88" s="7" t="str">
        <x:v>Jul 2025:260 | Aug 2025:320 | Sep 2025:320 | Oct 2025:390 | Nov 2025:320 | Dec 2025:260 | Jan 2026:210 | Feb 2026:320 | Mar 2026:260 | Apr 2026:390 | May 2026:390 | Jun 2026:320</x:v>
      </x:c>
    </x:row>
    <x:row r="89" ht="19" customHeight="1">
      <x:c r="A89" s="7" t="str">
        <x:v>hydraulic cylinder aftermarket</x:v>
      </x:c>
      <x:c r="B89" s="8" t="n">
        <x:v>0</x:v>
      </x:c>
      <x:c r="C89" s="9" t="n">
        <x:v>0</x:v>
      </x:c>
      <x:c r="D89" s="10" t="n">
        <x:v>0</x:v>
      </x:c>
      <x:c r="E89" s="12" t="n">
        <x:v>0</x:v>
      </x:c>
      <x:c r="F89" s="12" t="n">
        <x:v>0</x:v>
      </x:c>
      <x:c r="G89" s="11" t="n">
        <x:v>0</x:v>
      </x:c>
      <x:c r="H89" s="7" t="str"/>
    </x:row>
    <x:row r="90" ht="19" customHeight="1">
      <x:c r="A90" s="7" t="str">
        <x:v>hydraulic cylinder in stock</x:v>
      </x:c>
      <x:c r="B90" s="8" t="n">
        <x:v>0</x:v>
      </x:c>
      <x:c r="C90" s="9" t="n">
        <x:v>0</x:v>
      </x:c>
      <x:c r="D90" s="10" t="n">
        <x:v>0</x:v>
      </x:c>
      <x:c r="E90" s="12" t="n">
        <x:v>0</x:v>
      </x:c>
      <x:c r="F90" s="12" t="n">
        <x:v>0</x:v>
      </x:c>
      <x:c r="G90" s="11" t="n">
        <x:v>0</x:v>
      </x:c>
      <x:c r="H90" s="7" t="str"/>
    </x:row>
    <x:row r="91" ht="19" customHeight="1">
      <x:c r="A91" s="7" t="str">
        <x:v>custom hydraulic cylinder</x:v>
      </x:c>
      <x:c r="B91" s="8" t="n">
        <x:v>210</x:v>
      </x:c>
      <x:c r="C91" s="9" t="n">
        <x:v>1.95</x:v>
      </x:c>
      <x:c r="D91" s="10" t="n">
        <x:v>0.7</x:v>
      </x:c>
      <x:c r="E91" s="12" t="n">
        <x:v>140</x:v>
      </x:c>
      <x:c r="F91" s="12" t="n">
        <x:v>191.66666666666666</x:v>
      </x:c>
      <x:c r="G91" s="11" t="n">
        <x:v>-0.2695652173913043</x:v>
      </x:c>
      <x:c r="H91" s="7" t="str">
        <x:v>Jul 2025:210 | Aug 2025:210 | Sep 2025:210 | Oct 2025:170 | Nov 2025:210 | Dec 2025:170 | Jan 2026:170 | Feb 2026:260 | Mar 2026:210 | Apr 2026:170 | May 2026:170 | Jun 2026:140</x:v>
      </x:c>
    </x:row>
    <x:row r="92" ht="19" customHeight="1">
      <x:c r="A92" s="7" t="str">
        <x:v>custom hydraulic cylinder supplier</x:v>
      </x:c>
      <x:c r="B92" s="8" t="n">
        <x:v>0</x:v>
      </x:c>
      <x:c r="C92" s="9" t="n">
        <x:v>0</x:v>
      </x:c>
      <x:c r="D92" s="10" t="n">
        <x:v>0</x:v>
      </x:c>
      <x:c r="E92" s="12" t="n">
        <x:v>0</x:v>
      </x:c>
      <x:c r="F92" s="12" t="n">
        <x:v>0</x:v>
      </x:c>
      <x:c r="G92" s="11" t="n">
        <x:v>0</x:v>
      </x:c>
      <x:c r="H92" s="7" t="str"/>
    </x:row>
    <x:row r="93" ht="19" customHeight="1">
      <x:c r="A93" s="7" t="str">
        <x:v>custom hydraulic cylinder manufacturer</x:v>
      </x:c>
      <x:c r="B93" s="8" t="n">
        <x:v>40</x:v>
      </x:c>
      <x:c r="C93" s="9" t="n">
        <x:v>2.62</x:v>
      </x:c>
      <x:c r="D93" s="10" t="n">
        <x:v>0.8</x:v>
      </x:c>
      <x:c r="E93" s="12" t="n">
        <x:v>30</x:v>
      </x:c>
      <x:c r="F93" s="12" t="n">
        <x:v>42.5</x:v>
      </x:c>
      <x:c r="G93" s="11" t="n">
        <x:v>-0.29411764705882354</x:v>
      </x:c>
      <x:c r="H93" s="7" t="str">
        <x:v>Jul 2025:40 | Aug 2025:20 | Sep 2025:50 | Oct 2025:140 | Nov 2025:30 | Dec 2025:40 | Jan 2026:30 | Feb 2026:50 | Mar 2026:10 | Apr 2026:40 | May 2026:30 | Jun 2026:30</x:v>
      </x:c>
    </x:row>
    <x:row r="94" ht="19" customHeight="1">
      <x:c r="A94" s="7" t="str">
        <x:v>custom hydraulic cylinder replacement</x:v>
      </x:c>
      <x:c r="B94" s="8" t="n">
        <x:v>0</x:v>
      </x:c>
      <x:c r="C94" s="9" t="n">
        <x:v>0</x:v>
      </x:c>
      <x:c r="D94" s="10" t="n">
        <x:v>0</x:v>
      </x:c>
      <x:c r="E94" s="12" t="n">
        <x:v>0</x:v>
      </x:c>
      <x:c r="F94" s="12" t="n">
        <x:v>0</x:v>
      </x:c>
      <x:c r="G94" s="11" t="n">
        <x:v>0</x:v>
      </x:c>
      <x:c r="H94" s="7" t="str"/>
    </x:row>
    <x:row r="95" ht="19" customHeight="1">
      <x:c r="A95" s="7" t="str">
        <x:v>custom hydraulic cylinder aftermarket</x:v>
      </x:c>
      <x:c r="B95" s="8" t="n">
        <x:v>0</x:v>
      </x:c>
      <x:c r="C95" s="9" t="n">
        <x:v>0</x:v>
      </x:c>
      <x:c r="D95" s="10" t="n">
        <x:v>0</x:v>
      </x:c>
      <x:c r="E95" s="12" t="n">
        <x:v>0</x:v>
      </x:c>
      <x:c r="F95" s="12" t="n">
        <x:v>0</x:v>
      </x:c>
      <x:c r="G95" s="11" t="n">
        <x:v>0</x:v>
      </x:c>
      <x:c r="H95" s="7" t="str"/>
    </x:row>
    <x:row r="96" ht="19" customHeight="1">
      <x:c r="A96" s="7" t="str">
        <x:v>custom hydraulic cylinder in stock</x:v>
      </x:c>
      <x:c r="B96" s="8" t="n">
        <x:v>0</x:v>
      </x:c>
      <x:c r="C96" s="9" t="n">
        <x:v>0</x:v>
      </x:c>
      <x:c r="D96" s="10" t="n">
        <x:v>0</x:v>
      </x:c>
      <x:c r="E96" s="12" t="n">
        <x:v>0</x:v>
      </x:c>
      <x:c r="F96" s="12" t="n">
        <x:v>0</x:v>
      </x:c>
      <x:c r="G96" s="11" t="n">
        <x:v>0</x:v>
      </x:c>
      <x:c r="H96" s="7" t="str"/>
    </x:row>
    <x:row r="97" ht="19" customHeight="1">
      <x:c r="A97" s="7" t="str">
        <x:v>hydraulic seal kit</x:v>
      </x:c>
      <x:c r="B97" s="8" t="n">
        <x:v>320</x:v>
      </x:c>
      <x:c r="C97" s="9" t="n">
        <x:v>0.6</x:v>
      </x:c>
      <x:c r="D97" s="10" t="n">
        <x:v>1</x:v>
      </x:c>
      <x:c r="E97" s="12" t="n">
        <x:v>320</x:v>
      </x:c>
      <x:c r="F97" s="12" t="n">
        <x:v>321.6666666666667</x:v>
      </x:c>
      <x:c r="G97" s="11" t="n">
        <x:v>-0.005181347150259126</x:v>
      </x:c>
      <x:c r="H97" s="7" t="str">
        <x:v>Jul 2025:260 | Aug 2025:260 | Sep 2025:390 | Oct 2025:320 | Nov 2025:320 | Dec 2025:260 | Jan 2026:210 | Feb 2026:390 | Mar 2026:260 | Apr 2026:480 | May 2026:390 | Jun 2026:320</x:v>
      </x:c>
    </x:row>
    <x:row r="98" ht="19" customHeight="1">
      <x:c r="A98" s="7" t="str">
        <x:v>hydraulic seal kit supplier</x:v>
      </x:c>
      <x:c r="B98" s="8" t="n">
        <x:v>0</x:v>
      </x:c>
      <x:c r="C98" s="9" t="n">
        <x:v>0</x:v>
      </x:c>
      <x:c r="D98" s="10" t="n">
        <x:v>0</x:v>
      </x:c>
      <x:c r="E98" s="12" t="n">
        <x:v>0</x:v>
      </x:c>
      <x:c r="F98" s="12" t="n">
        <x:v>0</x:v>
      </x:c>
      <x:c r="G98" s="11" t="n">
        <x:v>0</x:v>
      </x:c>
      <x:c r="H98" s="7" t="str"/>
    </x:row>
    <x:row r="99" ht="19" customHeight="1">
      <x:c r="A99" s="7" t="str">
        <x:v>hydraulic seal kit manufacturer</x:v>
      </x:c>
      <x:c r="B99" s="8" t="n">
        <x:v>0</x:v>
      </x:c>
      <x:c r="C99" s="9" t="n">
        <x:v>0</x:v>
      </x:c>
      <x:c r="D99" s="10" t="n">
        <x:v>0</x:v>
      </x:c>
      <x:c r="E99" s="12" t="n">
        <x:v>0</x:v>
      </x:c>
      <x:c r="F99" s="12" t="n">
        <x:v>0</x:v>
      </x:c>
      <x:c r="G99" s="11" t="n">
        <x:v>0</x:v>
      </x:c>
      <x:c r="H99" s="7" t="str"/>
    </x:row>
    <x:row r="100" ht="19" customHeight="1">
      <x:c r="A100" s="7" t="str">
        <x:v>hydraulic seal kit replacement</x:v>
      </x:c>
      <x:c r="B100" s="8" t="n">
        <x:v>0</x:v>
      </x:c>
      <x:c r="C100" s="9" t="n">
        <x:v>0</x:v>
      </x:c>
      <x:c r="D100" s="10" t="n">
        <x:v>0</x:v>
      </x:c>
      <x:c r="E100" s="12" t="n">
        <x:v>0</x:v>
      </x:c>
      <x:c r="F100" s="12" t="n">
        <x:v>0</x:v>
      </x:c>
      <x:c r="G100" s="11" t="n">
        <x:v>0</x:v>
      </x:c>
      <x:c r="H100" s="7" t="str"/>
    </x:row>
    <x:row r="101" ht="19" customHeight="1">
      <x:c r="A101" s="7" t="str">
        <x:v>hydraulic seal kit aftermarket</x:v>
      </x:c>
      <x:c r="B101" s="8" t="n">
        <x:v>0</x:v>
      </x:c>
      <x:c r="C101" s="9" t="n">
        <x:v>0</x:v>
      </x:c>
      <x:c r="D101" s="10" t="n">
        <x:v>0</x:v>
      </x:c>
      <x:c r="E101" s="12" t="n">
        <x:v>0</x:v>
      </x:c>
      <x:c r="F101" s="12" t="n">
        <x:v>0</x:v>
      </x:c>
      <x:c r="G101" s="11" t="n">
        <x:v>0</x:v>
      </x:c>
      <x:c r="H101" s="7" t="str"/>
    </x:row>
    <x:row r="102" ht="19" customHeight="1">
      <x:c r="A102" s="7" t="str">
        <x:v>hydraulic seal kit in stock</x:v>
      </x:c>
      <x:c r="B102" s="8" t="n">
        <x:v>0</x:v>
      </x:c>
      <x:c r="C102" s="9" t="n">
        <x:v>0</x:v>
      </x:c>
      <x:c r="D102" s="10" t="n">
        <x:v>0</x:v>
      </x:c>
      <x:c r="E102" s="12" t="n">
        <x:v>0</x:v>
      </x:c>
      <x:c r="F102" s="12" t="n">
        <x:v>0</x:v>
      </x:c>
      <x:c r="G102" s="11" t="n">
        <x:v>0</x:v>
      </x:c>
      <x:c r="H102" s="7" t="str"/>
    </x:row>
    <x:row r="103" ht="19" customHeight="1">
      <x:c r="A103" s="7" t="str">
        <x:v>hydraulic repair kit</x:v>
      </x:c>
      <x:c r="B103" s="8" t="n">
        <x:v>140</x:v>
      </x:c>
      <x:c r="C103" s="9" t="n">
        <x:v>0.27</x:v>
      </x:c>
      <x:c r="D103" s="10" t="n">
        <x:v>0.85</x:v>
      </x:c>
      <x:c r="E103" s="12" t="n">
        <x:v>140</x:v>
      </x:c>
      <x:c r="F103" s="12" t="n">
        <x:v>129.16666666666666</x:v>
      </x:c>
      <x:c r="G103" s="11" t="n">
        <x:v>0.08387096774193556</x:v>
      </x:c>
      <x:c r="H103" s="7" t="str">
        <x:v>Jul 2025:140 | Aug 2025:140 | Sep 2025:110 | Oct 2025:140 | Nov 2025:140 | Dec 2025:90 | Jan 2026:90 | Feb 2026:110 | Mar 2026:170 | Apr 2026:140 | May 2026:140 | Jun 2026:140</x:v>
      </x:c>
    </x:row>
    <x:row r="104" ht="19" customHeight="1">
      <x:c r="A104" s="7" t="str">
        <x:v>hydraulic repair kit supplier</x:v>
      </x:c>
      <x:c r="B104" s="8" t="n">
        <x:v>0</x:v>
      </x:c>
      <x:c r="C104" s="9" t="n">
        <x:v>0</x:v>
      </x:c>
      <x:c r="D104" s="10" t="n">
        <x:v>0</x:v>
      </x:c>
      <x:c r="E104" s="12" t="n">
        <x:v>0</x:v>
      </x:c>
      <x:c r="F104" s="12" t="n">
        <x:v>0</x:v>
      </x:c>
      <x:c r="G104" s="11" t="n">
        <x:v>0</x:v>
      </x:c>
      <x:c r="H104" s="7" t="str"/>
    </x:row>
    <x:row r="105" ht="19" customHeight="1">
      <x:c r="A105" s="7" t="str">
        <x:v>hydraulic repair kit manufacturer</x:v>
      </x:c>
      <x:c r="B105" s="8" t="n">
        <x:v>0</x:v>
      </x:c>
      <x:c r="C105" s="9" t="n">
        <x:v>0</x:v>
      </x:c>
      <x:c r="D105" s="10" t="n">
        <x:v>0</x:v>
      </x:c>
      <x:c r="E105" s="12" t="n">
        <x:v>0</x:v>
      </x:c>
      <x:c r="F105" s="12" t="n">
        <x:v>0</x:v>
      </x:c>
      <x:c r="G105" s="11" t="n">
        <x:v>0</x:v>
      </x:c>
      <x:c r="H105" s="7" t="str"/>
    </x:row>
    <x:row r="106" ht="19" customHeight="1">
      <x:c r="A106" s="7" t="str">
        <x:v>hydraulic repair kit replacement</x:v>
      </x:c>
      <x:c r="B106" s="8" t="n">
        <x:v>0</x:v>
      </x:c>
      <x:c r="C106" s="9" t="n">
        <x:v>0</x:v>
      </x:c>
      <x:c r="D106" s="10" t="n">
        <x:v>0</x:v>
      </x:c>
      <x:c r="E106" s="12" t="n">
        <x:v>0</x:v>
      </x:c>
      <x:c r="F106" s="12" t="n">
        <x:v>0</x:v>
      </x:c>
      <x:c r="G106" s="11" t="n">
        <x:v>0</x:v>
      </x:c>
      <x:c r="H106" s="7" t="str"/>
    </x:row>
    <x:row r="107" ht="19" customHeight="1">
      <x:c r="A107" s="7" t="str">
        <x:v>hydraulic repair kit aftermarket</x:v>
      </x:c>
      <x:c r="B107" s="8" t="n">
        <x:v>0</x:v>
      </x:c>
      <x:c r="C107" s="9" t="n">
        <x:v>0</x:v>
      </x:c>
      <x:c r="D107" s="10" t="n">
        <x:v>0</x:v>
      </x:c>
      <x:c r="E107" s="12" t="n">
        <x:v>0</x:v>
      </x:c>
      <x:c r="F107" s="12" t="n">
        <x:v>0</x:v>
      </x:c>
      <x:c r="G107" s="11" t="n">
        <x:v>0</x:v>
      </x:c>
      <x:c r="H107" s="7" t="str"/>
    </x:row>
    <x:row r="108" ht="19" customHeight="1">
      <x:c r="A108" s="7" t="str">
        <x:v>hydraulic repair kit in stock</x:v>
      </x:c>
      <x:c r="B108" s="8" t="n">
        <x:v>0</x:v>
      </x:c>
      <x:c r="C108" s="9" t="n">
        <x:v>0</x:v>
      </x:c>
      <x:c r="D108" s="10" t="n">
        <x:v>0</x:v>
      </x:c>
      <x:c r="E108" s="12" t="n">
        <x:v>0</x:v>
      </x:c>
      <x:c r="F108" s="12" t="n">
        <x:v>0</x:v>
      </x:c>
      <x:c r="G108" s="11" t="n">
        <x:v>0</x:v>
      </x:c>
      <x:c r="H108" s="7" t="str"/>
    </x:row>
    <x:row r="109" ht="19" customHeight="1">
      <x:c r="A109" s="7" t="str">
        <x:v>hydraulic pump parts supplier</x:v>
      </x:c>
      <x:c r="B109" s="8" t="n">
        <x:v>10</x:v>
      </x:c>
      <x:c r="C109" s="9" t="n">
        <x:v>0</x:v>
      </x:c>
      <x:c r="D109" s="10" t="n">
        <x:v>0</x:v>
      </x:c>
      <x:c r="E109" s="12" t="n">
        <x:v>10</x:v>
      </x:c>
      <x:c r="F109" s="12" t="n">
        <x:v>12.5</x:v>
      </x:c>
      <x:c r="G109" s="11" t="n">
        <x:v>-0.2</x:v>
      </x:c>
      <x:c r="H109" s="7" t="str">
        <x:v>Jul 2025:20 | Aug 2025:20 | Sep 2025:10 | Oct 2025:10 | Nov 2025:10 | Dec 2025:10 | Jan 2026:10 | Feb 2026:10 | Mar 2026:10 | Apr 2026:20 | May 2026:10 | Jun 2026:10</x:v>
      </x:c>
    </x:row>
    <x:row r="110" ht="19" customHeight="1">
      <x:c r="A110" s="7" t="str">
        <x:v>hydraulic pump parts manufacturer</x:v>
      </x:c>
      <x:c r="B110" s="8" t="n">
        <x:v>10</x:v>
      </x:c>
      <x:c r="C110" s="9" t="n">
        <x:v>0</x:v>
      </x:c>
      <x:c r="D110" s="10" t="n">
        <x:v>0.22</x:v>
      </x:c>
      <x:c r="E110" s="12" t="n">
        <x:v>10</x:v>
      </x:c>
      <x:c r="F110" s="12" t="n">
        <x:v>11.666666666666666</x:v>
      </x:c>
      <x:c r="G110" s="11" t="n">
        <x:v>-0.14285714285714282</x:v>
      </x:c>
      <x:c r="H110" s="7" t="str">
        <x:v>Jul 2025:20 | Aug 2025:10 | Sep 2025:10 | Oct 2025:10 | Nov 2025:10 | Dec 2025:10 | Jan 2026:10 | Feb 2026:10 | Mar 2026:20 | Apr 2026:10 | May 2026:10 | Jun 2026:10</x:v>
      </x:c>
    </x:row>
    <x:row r="111" ht="19" customHeight="1">
      <x:c r="A111" s="7" t="str">
        <x:v>hydraulic pump parts replacement</x:v>
      </x:c>
      <x:c r="B111" s="8" t="n">
        <x:v>0</x:v>
      </x:c>
      <x:c r="C111" s="9" t="n">
        <x:v>0</x:v>
      </x:c>
      <x:c r="D111" s="10" t="n">
        <x:v>0</x:v>
      </x:c>
      <x:c r="E111" s="12" t="n">
        <x:v>0</x:v>
      </x:c>
      <x:c r="F111" s="12" t="n">
        <x:v>0</x:v>
      </x:c>
      <x:c r="G111" s="11" t="n">
        <x:v>0</x:v>
      </x:c>
      <x:c r="H111" s="7" t="str"/>
    </x:row>
    <x:row r="112" ht="19" customHeight="1">
      <x:c r="A112" s="7" t="str">
        <x:v>hydraulic pump parts aftermarket</x:v>
      </x:c>
      <x:c r="B112" s="8" t="n">
        <x:v>0</x:v>
      </x:c>
      <x:c r="C112" s="9" t="n">
        <x:v>0</x:v>
      </x:c>
      <x:c r="D112" s="10" t="n">
        <x:v>0</x:v>
      </x:c>
      <x:c r="E112" s="12" t="n">
        <x:v>0</x:v>
      </x:c>
      <x:c r="F112" s="12" t="n">
        <x:v>0</x:v>
      </x:c>
      <x:c r="G112" s="11" t="n">
        <x:v>0</x:v>
      </x:c>
      <x:c r="H112" s="7" t="str"/>
    </x:row>
    <x:row r="113" ht="19" customHeight="1">
      <x:c r="A113" s="7" t="str">
        <x:v>hydraulic pump parts in stock</x:v>
      </x:c>
      <x:c r="B113" s="8" t="n">
        <x:v>0</x:v>
      </x:c>
      <x:c r="C113" s="9" t="n">
        <x:v>0</x:v>
      </x:c>
      <x:c r="D113" s="10" t="n">
        <x:v>0</x:v>
      </x:c>
      <x:c r="E113" s="12" t="n">
        <x:v>0</x:v>
      </x:c>
      <x:c r="F113" s="12" t="n">
        <x:v>0</x:v>
      </x:c>
      <x:c r="G113" s="11" t="n">
        <x:v>0</x:v>
      </x:c>
      <x:c r="H113" s="7" t="str"/>
    </x:row>
    <x:row r="114" ht="19" customHeight="1">
      <x:c r="A114" s="7" t="str">
        <x:v>hydraulic motor parts</x:v>
      </x:c>
      <x:c r="B114" s="8" t="n">
        <x:v>70</x:v>
      </x:c>
      <x:c r="C114" s="9" t="n">
        <x:v>1.36</x:v>
      </x:c>
      <x:c r="D114" s="10" t="n">
        <x:v>0.84</x:v>
      </x:c>
      <x:c r="E114" s="12" t="n">
        <x:v>30</x:v>
      </x:c>
      <x:c r="F114" s="12" t="n">
        <x:v>72.5</x:v>
      </x:c>
      <x:c r="G114" s="11" t="n">
        <x:v>-0.5862068965517241</x:v>
      </x:c>
      <x:c r="H114" s="7" t="str">
        <x:v>Jul 2025:140 | Aug 2025:70 | Sep 2025:140 | Oct 2025:170 | Nov 2025:70 | Dec 2025:30 | Jan 2026:20 | Feb 2026:50 | Mar 2026:40 | Apr 2026:70 | May 2026:40 | Jun 2026:30</x:v>
      </x:c>
    </x:row>
    <x:row r="115" ht="19" customHeight="1">
      <x:c r="A115" s="7" t="str">
        <x:v>hydraulic motor parts supplier</x:v>
      </x:c>
      <x:c r="B115" s="8" t="n">
        <x:v>0</x:v>
      </x:c>
      <x:c r="C115" s="9" t="n">
        <x:v>0</x:v>
      </x:c>
      <x:c r="D115" s="10" t="n">
        <x:v>0</x:v>
      </x:c>
      <x:c r="E115" s="12" t="n">
        <x:v>0</x:v>
      </x:c>
      <x:c r="F115" s="12" t="n">
        <x:v>0</x:v>
      </x:c>
      <x:c r="G115" s="11" t="n">
        <x:v>0</x:v>
      </x:c>
      <x:c r="H115" s="7" t="str"/>
    </x:row>
    <x:row r="116" ht="19" customHeight="1">
      <x:c r="A116" s="7" t="str">
        <x:v>hydraulic motor parts manufacturer</x:v>
      </x:c>
      <x:c r="B116" s="8" t="n">
        <x:v>0</x:v>
      </x:c>
      <x:c r="C116" s="9" t="n">
        <x:v>0</x:v>
      </x:c>
      <x:c r="D116" s="10" t="n">
        <x:v>0</x:v>
      </x:c>
      <x:c r="E116" s="12" t="n">
        <x:v>0</x:v>
      </x:c>
      <x:c r="F116" s="12" t="n">
        <x:v>0</x:v>
      </x:c>
      <x:c r="G116" s="11" t="n">
        <x:v>0</x:v>
      </x:c>
      <x:c r="H116" s="7" t="str"/>
    </x:row>
    <x:row r="117" ht="19" customHeight="1">
      <x:c r="A117" s="7" t="str">
        <x:v>hydraulic motor parts replacement</x:v>
      </x:c>
      <x:c r="B117" s="8" t="n">
        <x:v>0</x:v>
      </x:c>
      <x:c r="C117" s="9" t="n">
        <x:v>0</x:v>
      </x:c>
      <x:c r="D117" s="10" t="n">
        <x:v>0</x:v>
      </x:c>
      <x:c r="E117" s="12" t="n">
        <x:v>0</x:v>
      </x:c>
      <x:c r="F117" s="12" t="n">
        <x:v>0</x:v>
      </x:c>
      <x:c r="G117" s="11" t="n">
        <x:v>0</x:v>
      </x:c>
      <x:c r="H117" s="7" t="str"/>
    </x:row>
    <x:row r="118" ht="19" customHeight="1">
      <x:c r="A118" s="7" t="str">
        <x:v>hydraulic motor parts aftermarket</x:v>
      </x:c>
      <x:c r="B118" s="8" t="n">
        <x:v>0</x:v>
      </x:c>
      <x:c r="C118" s="9" t="n">
        <x:v>0</x:v>
      </x:c>
      <x:c r="D118" s="10" t="n">
        <x:v>0</x:v>
      </x:c>
      <x:c r="E118" s="12" t="n">
        <x:v>0</x:v>
      </x:c>
      <x:c r="F118" s="12" t="n">
        <x:v>0</x:v>
      </x:c>
      <x:c r="G118" s="11" t="n">
        <x:v>0</x:v>
      </x:c>
      <x:c r="H118" s="7" t="str"/>
    </x:row>
    <x:row r="119" ht="19" customHeight="1">
      <x:c r="A119" s="7" t="str">
        <x:v>hydraulic motor parts in stock</x:v>
      </x:c>
      <x:c r="B119" s="8" t="n">
        <x:v>0</x:v>
      </x:c>
      <x:c r="C119" s="9" t="n">
        <x:v>0</x:v>
      </x:c>
      <x:c r="D119" s="10" t="n">
        <x:v>0</x:v>
      </x:c>
      <x:c r="E119" s="12" t="n">
        <x:v>0</x:v>
      </x:c>
      <x:c r="F119" s="12" t="n">
        <x:v>0</x:v>
      </x:c>
      <x:c r="G119" s="11" t="n">
        <x:v>0</x:v>
      </x:c>
      <x:c r="H119" s="7" t="str"/>
    </x:row>
    <x:row r="120" ht="19" customHeight="1">
      <x:c r="A120" s="7" t="str">
        <x:v>hydraulic valve parts</x:v>
      </x:c>
      <x:c r="B120" s="8" t="n">
        <x:v>70</x:v>
      </x:c>
      <x:c r="C120" s="9" t="n">
        <x:v>0.25</x:v>
      </x:c>
      <x:c r="D120" s="10" t="n">
        <x:v>0.99</x:v>
      </x:c>
      <x:c r="E120" s="12" t="n">
        <x:v>90</x:v>
      </x:c>
      <x:c r="F120" s="12" t="n">
        <x:v>76.66666666666667</x:v>
      </x:c>
      <x:c r="G120" s="11" t="n">
        <x:v>0.1739130434782608</x:v>
      </x:c>
      <x:c r="H120" s="7" t="str">
        <x:v>Jul 2025:110 | Aug 2025:90 | Sep 2025:90 | Oct 2025:70 | Nov 2025:90 | Dec 2025:70 | Jan 2026:50 | Feb 2026:50 | Mar 2026:50 | Apr 2026:70 | May 2026:90 | Jun 2026:90</x:v>
      </x:c>
    </x:row>
    <x:row r="121" ht="19" customHeight="1">
      <x:c r="A121" s="7" t="str">
        <x:v>hydraulic valve parts supplier</x:v>
      </x:c>
      <x:c r="B121" s="8" t="n">
        <x:v>0</x:v>
      </x:c>
      <x:c r="C121" s="9" t="n">
        <x:v>0</x:v>
      </x:c>
      <x:c r="D121" s="10" t="n">
        <x:v>0</x:v>
      </x:c>
      <x:c r="E121" s="12" t="n">
        <x:v>0</x:v>
      </x:c>
      <x:c r="F121" s="12" t="n">
        <x:v>0</x:v>
      </x:c>
      <x:c r="G121" s="11" t="n">
        <x:v>0</x:v>
      </x:c>
      <x:c r="H121" s="7" t="str"/>
    </x:row>
    <x:row r="122" ht="19" customHeight="1">
      <x:c r="A122" s="7" t="str">
        <x:v>hydraulic valve parts manufacturer</x:v>
      </x:c>
      <x:c r="B122" s="8" t="n">
        <x:v>0</x:v>
      </x:c>
      <x:c r="C122" s="9" t="n">
        <x:v>0</x:v>
      </x:c>
      <x:c r="D122" s="10" t="n">
        <x:v>0</x:v>
      </x:c>
      <x:c r="E122" s="12" t="n">
        <x:v>0</x:v>
      </x:c>
      <x:c r="F122" s="12" t="n">
        <x:v>0</x:v>
      </x:c>
      <x:c r="G122" s="11" t="n">
        <x:v>0</x:v>
      </x:c>
      <x:c r="H122" s="7" t="str"/>
    </x:row>
    <x:row r="123" ht="19" customHeight="1">
      <x:c r="A123" s="7" t="str">
        <x:v>hydraulic valve parts replacement</x:v>
      </x:c>
      <x:c r="B123" s="8" t="n">
        <x:v>0</x:v>
      </x:c>
      <x:c r="C123" s="9" t="n">
        <x:v>0</x:v>
      </x:c>
      <x:c r="D123" s="10" t="n">
        <x:v>0</x:v>
      </x:c>
      <x:c r="E123" s="12" t="n">
        <x:v>0</x:v>
      </x:c>
      <x:c r="F123" s="12" t="n">
        <x:v>0</x:v>
      </x:c>
      <x:c r="G123" s="11" t="n">
        <x:v>0</x:v>
      </x:c>
      <x:c r="H123" s="7" t="str"/>
    </x:row>
    <x:row r="124" ht="19" customHeight="1">
      <x:c r="A124" s="7" t="str">
        <x:v>hydraulic valve parts aftermarket</x:v>
      </x:c>
      <x:c r="B124" s="8" t="n">
        <x:v>0</x:v>
      </x:c>
      <x:c r="C124" s="9" t="n">
        <x:v>0</x:v>
      </x:c>
      <x:c r="D124" s="10" t="n">
        <x:v>0</x:v>
      </x:c>
      <x:c r="E124" s="12" t="n">
        <x:v>0</x:v>
      </x:c>
      <x:c r="F124" s="12" t="n">
        <x:v>0</x:v>
      </x:c>
      <x:c r="G124" s="11" t="n">
        <x:v>0</x:v>
      </x:c>
      <x:c r="H124" s="7" t="str"/>
    </x:row>
    <x:row r="125" ht="19" customHeight="1">
      <x:c r="A125" s="7" t="str">
        <x:v>hydraulic valve parts in stock</x:v>
      </x:c>
      <x:c r="B125" s="8" t="n">
        <x:v>0</x:v>
      </x:c>
      <x:c r="C125" s="9" t="n">
        <x:v>0</x:v>
      </x:c>
      <x:c r="D125" s="10" t="n">
        <x:v>0</x:v>
      </x:c>
      <x:c r="E125" s="12" t="n">
        <x:v>0</x:v>
      </x:c>
      <x:c r="F125" s="12" t="n">
        <x:v>0</x:v>
      </x:c>
      <x:c r="G125" s="11" t="n">
        <x:v>0</x:v>
      </x:c>
      <x:c r="H125" s="7" t="str"/>
    </x:row>
    <x:row r="126" ht="19" customHeight="1">
      <x:c r="A126" s="7" t="str">
        <x:v>bosch rexroth hydraulic pump</x:v>
      </x:c>
      <x:c r="B126" s="8" t="n">
        <x:v>720</x:v>
      </x:c>
      <x:c r="C126" s="9" t="n">
        <x:v>1.07</x:v>
      </x:c>
      <x:c r="D126" s="10" t="n">
        <x:v>1</x:v>
      </x:c>
      <x:c r="E126" s="12" t="n">
        <x:v>720</x:v>
      </x:c>
      <x:c r="F126" s="12" t="n">
        <x:v>751.6666666666666</x:v>
      </x:c>
      <x:c r="G126" s="11" t="n">
        <x:v>-0.04212860310421281</x:v>
      </x:c>
      <x:c r="H126" s="7" t="str">
        <x:v>Jul 2025:880 | Aug 2025:880 | Sep 2025:720 | Oct 2025:880 | Nov 2025:590 | Dec 2025:590 | Jan 2026:720 | Feb 2026:720 | Mar 2026:880 | Apr 2026:720 | May 2026:720 | Jun 2026:720</x:v>
      </x:c>
    </x:row>
    <x:row r="127" ht="19" customHeight="1">
      <x:c r="A127" s="7" t="str">
        <x:v>bosch rexroth hydraulic motor</x:v>
      </x:c>
      <x:c r="B127" s="8" t="n">
        <x:v>110</x:v>
      </x:c>
      <x:c r="C127" s="9" t="n">
        <x:v>0.97</x:v>
      </x:c>
      <x:c r="D127" s="10" t="n">
        <x:v>0.92</x:v>
      </x:c>
      <x:c r="E127" s="12" t="n">
        <x:v>90</x:v>
      </x:c>
      <x:c r="F127" s="12" t="n">
        <x:v>105.83333333333333</x:v>
      </x:c>
      <x:c r="G127" s="11" t="n">
        <x:v>-0.14960629921259838</x:v>
      </x:c>
      <x:c r="H127" s="7" t="str">
        <x:v>Jul 2025:90 | Aug 2025:210 | Sep 2025:140 | Oct 2025:110 | Nov 2025:70 | Dec 2025:70 | Jan 2026:90 | Feb 2026:90 | Mar 2026:110 | Apr 2026:90 | May 2026:110 | Jun 2026:90</x:v>
      </x:c>
    </x:row>
    <x:row r="128" ht="19" customHeight="1">
      <x:c r="A128" s="7" t="str">
        <x:v>bosch rexroth hydraulic valve</x:v>
      </x:c>
      <x:c r="B128" s="8" t="n">
        <x:v>0</x:v>
      </x:c>
      <x:c r="C128" s="9" t="n">
        <x:v>0</x:v>
      </x:c>
      <x:c r="D128" s="10" t="n">
        <x:v>0</x:v>
      </x:c>
      <x:c r="E128" s="12" t="n">
        <x:v>0</x:v>
      </x:c>
      <x:c r="F128" s="12" t="n">
        <x:v>0</x:v>
      </x:c>
      <x:c r="G128" s="11" t="n">
        <x:v>0</x:v>
      </x:c>
      <x:c r="H128" s="7" t="str"/>
    </x:row>
    <x:row r="129" ht="19" customHeight="1">
      <x:c r="A129" s="7" t="str">
        <x:v>bosch rexroth replacement</x:v>
      </x:c>
      <x:c r="B129" s="8" t="n">
        <x:v>0</x:v>
      </x:c>
      <x:c r="C129" s="9" t="n">
        <x:v>0</x:v>
      </x:c>
      <x:c r="D129" s="10" t="n">
        <x:v>0</x:v>
      </x:c>
      <x:c r="E129" s="12" t="n">
        <x:v>0</x:v>
      </x:c>
      <x:c r="F129" s="12" t="n">
        <x:v>0</x:v>
      </x:c>
      <x:c r="G129" s="11" t="n">
        <x:v>0</x:v>
      </x:c>
      <x:c r="H129" s="7" t="str"/>
    </x:row>
    <x:row r="130" ht="19" customHeight="1">
      <x:c r="A130" s="7" t="str">
        <x:v>bosch rexroth parts</x:v>
      </x:c>
      <x:c r="B130" s="8" t="n">
        <x:v>90</x:v>
      </x:c>
      <x:c r="C130" s="9" t="n">
        <x:v>1.15</x:v>
      </x:c>
      <x:c r="D130" s="10" t="n">
        <x:v>0.67</x:v>
      </x:c>
      <x:c r="E130" s="12" t="n">
        <x:v>70</x:v>
      </x:c>
      <x:c r="F130" s="12" t="n">
        <x:v>93.33333333333333</x:v>
      </x:c>
      <x:c r="G130" s="11" t="n">
        <x:v>-0.24999999999999997</x:v>
      </x:c>
      <x:c r="H130" s="7" t="str">
        <x:v>Jul 2025:110 | Aug 2025:110 | Sep 2025:90 | Oct 2025:110 | Nov 2025:90 | Dec 2025:70 | Jan 2026:110 | Feb 2026:90 | Mar 2026:90 | Apr 2026:90 | May 2026:90 | Jun 2026:70</x:v>
      </x:c>
    </x:row>
    <x:row r="131" ht="19" customHeight="1">
      <x:c r="A131" s="7" t="str">
        <x:v>eaton vickers hydraulic pump</x:v>
      </x:c>
      <x:c r="B131" s="8" t="n">
        <x:v>390</x:v>
      </x:c>
      <x:c r="C131" s="9" t="n">
        <x:v>1.14</x:v>
      </x:c>
      <x:c r="D131" s="10" t="n">
        <x:v>1</x:v>
      </x:c>
      <x:c r="E131" s="12" t="n">
        <x:v>320</x:v>
      </x:c>
      <x:c r="F131" s="12" t="n">
        <x:v>366.6666666666667</x:v>
      </x:c>
      <x:c r="G131" s="11" t="n">
        <x:v>-0.12727272727272732</x:v>
      </x:c>
      <x:c r="H131" s="7" t="str">
        <x:v>Jul 2025:390 | Aug 2025:390 | Sep 2025:320 | Oct 2025:390 | Nov 2025:390 | Dec 2025:320 | Jan 2026:390 | Feb 2026:390 | Mar 2026:390 | Apr 2026:390 | May 2026:320 | Jun 2026:320</x:v>
      </x:c>
    </x:row>
    <x:row r="132" ht="19" customHeight="1">
      <x:c r="A132" s="7" t="str">
        <x:v>eaton vickers hydraulic motor</x:v>
      </x:c>
      <x:c r="B132" s="8" t="n">
        <x:v>0</x:v>
      </x:c>
      <x:c r="C132" s="9" t="n">
        <x:v>0</x:v>
      </x:c>
      <x:c r="D132" s="10" t="n">
        <x:v>0</x:v>
      </x:c>
      <x:c r="E132" s="12" t="n">
        <x:v>0</x:v>
      </x:c>
      <x:c r="F132" s="12" t="n">
        <x:v>0</x:v>
      </x:c>
      <x:c r="G132" s="11" t="n">
        <x:v>0</x:v>
      </x:c>
      <x:c r="H132" s="7" t="str"/>
    </x:row>
    <x:row r="133" ht="19" customHeight="1">
      <x:c r="A133" s="7" t="str">
        <x:v>eaton vickers hydraulic valve</x:v>
      </x:c>
      <x:c r="B133" s="8" t="n">
        <x:v>0</x:v>
      </x:c>
      <x:c r="C133" s="9" t="n">
        <x:v>0</x:v>
      </x:c>
      <x:c r="D133" s="10" t="n">
        <x:v>0</x:v>
      </x:c>
      <x:c r="E133" s="12" t="n">
        <x:v>0</x:v>
      </x:c>
      <x:c r="F133" s="12" t="n">
        <x:v>0</x:v>
      </x:c>
      <x:c r="G133" s="11" t="n">
        <x:v>0</x:v>
      </x:c>
      <x:c r="H133" s="7" t="str"/>
    </x:row>
    <x:row r="134" ht="19" customHeight="1">
      <x:c r="A134" s="7" t="str">
        <x:v>eaton vickers replacement</x:v>
      </x:c>
      <x:c r="B134" s="8" t="n">
        <x:v>0</x:v>
      </x:c>
      <x:c r="C134" s="9" t="n">
        <x:v>0</x:v>
      </x:c>
      <x:c r="D134" s="10" t="n">
        <x:v>0</x:v>
      </x:c>
      <x:c r="E134" s="12" t="n">
        <x:v>0</x:v>
      </x:c>
      <x:c r="F134" s="12" t="n">
        <x:v>0</x:v>
      </x:c>
      <x:c r="G134" s="11" t="n">
        <x:v>0</x:v>
      </x:c>
      <x:c r="H134" s="7" t="str"/>
    </x:row>
    <x:row r="135" ht="19" customHeight="1">
      <x:c r="A135" s="7" t="str">
        <x:v>eaton vickers parts</x:v>
      </x:c>
      <x:c r="B135" s="8" t="n">
        <x:v>10</x:v>
      </x:c>
      <x:c r="C135" s="9" t="n">
        <x:v>0</x:v>
      </x:c>
      <x:c r="D135" s="10" t="n">
        <x:v>0.2</x:v>
      </x:c>
      <x:c r="E135" s="12" t="n">
        <x:v>10</x:v>
      </x:c>
      <x:c r="F135" s="12" t="n">
        <x:v>7.5</x:v>
      </x:c>
      <x:c r="G135" s="11" t="n">
        <x:v>0.3333333333333333</x:v>
      </x:c>
      <x:c r="H135" s="7" t="str">
        <x:v>Jul 2025:10 | Aug 2025:10 | Sep 2025:10 | Oct 2025:10 | Nov 2025:0 | Dec 2025:10 | Jan 2026:10 | Feb 2026:0 | Mar 2026:10 | Apr 2026:10 | May 2026:0 | Jun 2026:10</x:v>
      </x:c>
    </x:row>
    <x:row r="136" ht="19" customHeight="1">
      <x:c r="A136" s="7" t="str">
        <x:v>parker hydraulic pump</x:v>
      </x:c>
      <x:c r="B136" s="8" t="n">
        <x:v>1300</x:v>
      </x:c>
      <x:c r="C136" s="9" t="n">
        <x:v>1.24</x:v>
      </x:c>
      <x:c r="D136" s="10" t="n">
        <x:v>0.98</x:v>
      </x:c>
      <x:c r="E136" s="12" t="n">
        <x:v>1300</x:v>
      </x:c>
      <x:c r="F136" s="12" t="n">
        <x:v>1365</x:v>
      </x:c>
      <x:c r="G136" s="11" t="n">
        <x:v>-0.047619047619047616</x:v>
      </x:c>
      <x:c r="H136" s="7" t="str">
        <x:v>Jul 2025:1300 | Aug 2025:1900 | Sep 2025:1900 | Oct 2025:1300 | Nov 2025:880 | Dec 2025:1300 | Jan 2026:1300 | Feb 2026:1300 | Mar 2026:1300 | Apr 2026:1300 | May 2026:1300 | Jun 2026:1300</x:v>
      </x:c>
    </x:row>
    <x:row r="137" ht="19" customHeight="1">
      <x:c r="A137" s="7" t="str">
        <x:v>parker hydraulic motor</x:v>
      </x:c>
      <x:c r="B137" s="8" t="n">
        <x:v>390</x:v>
      </x:c>
      <x:c r="C137" s="9" t="n">
        <x:v>1.09</x:v>
      </x:c>
      <x:c r="D137" s="10" t="n">
        <x:v>1</x:v>
      </x:c>
      <x:c r="E137" s="12" t="n">
        <x:v>390</x:v>
      </x:c>
      <x:c r="F137" s="12" t="n">
        <x:v>427.5</x:v>
      </x:c>
      <x:c r="G137" s="11" t="n">
        <x:v>-0.08771929824561403</x:v>
      </x:c>
      <x:c r="H137" s="7" t="str">
        <x:v>Jul 2025:480 | Aug 2025:480 | Sep 2025:480 | Oct 2025:390 | Nov 2025:390 | Dec 2025:390 | Jan 2026:390 | Feb 2026:390 | Mar 2026:480 | Apr 2026:390 | May 2026:480 | Jun 2026:390</x:v>
      </x:c>
    </x:row>
    <x:row r="138" ht="19" customHeight="1">
      <x:c r="A138" s="7" t="str">
        <x:v>parker hydraulic valve</x:v>
      </x:c>
      <x:c r="B138" s="8" t="n">
        <x:v>320</x:v>
      </x:c>
      <x:c r="C138" s="9" t="n">
        <x:v>1.16</x:v>
      </x:c>
      <x:c r="D138" s="10" t="n">
        <x:v>0.83</x:v>
      </x:c>
      <x:c r="E138" s="12" t="n">
        <x:v>320</x:v>
      </x:c>
      <x:c r="F138" s="12" t="n">
        <x:v>309.1666666666667</x:v>
      </x:c>
      <x:c r="G138" s="11" t="n">
        <x:v>0.0350404312668463</x:v>
      </x:c>
      <x:c r="H138" s="7" t="str">
        <x:v>Jul 2025:320 | Aug 2025:320 | Sep 2025:320 | Oct 2025:260 | Nov 2025:210 | Dec 2025:260 | Jan 2026:260 | Feb 2026:320 | Mar 2026:320 | Apr 2026:320 | May 2026:480 | Jun 2026:320</x:v>
      </x:c>
    </x:row>
    <x:row r="139" ht="19" customHeight="1">
      <x:c r="A139" s="7" t="str">
        <x:v>parker replacement</x:v>
      </x:c>
      <x:c r="B139" s="8" t="n">
        <x:v>10</x:v>
      </x:c>
      <x:c r="C139" s="9" t="n">
        <x:v>0</x:v>
      </x:c>
      <x:c r="D139" s="10" t="n">
        <x:v>0</x:v>
      </x:c>
      <x:c r="E139" s="12" t="n">
        <x:v>10</x:v>
      </x:c>
      <x:c r="F139" s="12" t="n">
        <x:v>9.166666666666666</x:v>
      </x:c>
      <x:c r="G139" s="11" t="n">
        <x:v>0.09090909090909098</x:v>
      </x:c>
      <x:c r="H139" s="7" t="str">
        <x:v>Jul 2025:10 | Aug 2025:10 | Sep 2025:10 | Oct 2025:10 | Nov 2025:0 | Dec 2025:10 | Jan 2026:10 | Feb 2026:10 | Mar 2026:10 | Apr 2026:10 | May 2026:10 | Jun 2026:10</x:v>
      </x:c>
    </x:row>
    <x:row r="140" ht="19" customHeight="1">
      <x:c r="A140" s="7" t="str">
        <x:v>parker parts</x:v>
      </x:c>
      <x:c r="B140" s="8" t="n">
        <x:v>140</x:v>
      </x:c>
      <x:c r="C140" s="9" t="n">
        <x:v>0.99</x:v>
      </x:c>
      <x:c r="D140" s="10" t="n">
        <x:v>0.92</x:v>
      </x:c>
      <x:c r="E140" s="12" t="n">
        <x:v>170</x:v>
      </x:c>
      <x:c r="F140" s="12" t="n">
        <x:v>150.83333333333334</x:v>
      </x:c>
      <x:c r="G140" s="11" t="n">
        <x:v>0.12707182320441981</x:v>
      </x:c>
      <x:c r="H140" s="7" t="str">
        <x:v>Jul 2025:210 | Aug 2025:170 | Sep 2025:170 | Oct 2025:140 | Nov 2025:110 | Dec 2025:110 | Jan 2026:170 | Feb 2026:140 | Mar 2026:140 | Apr 2026:140 | May 2026:140 | Jun 2026:170</x:v>
      </x:c>
    </x:row>
    <x:row r="141" ht="19" customHeight="1">
      <x:c r="A141" s="7" t="str">
        <x:v>danfoss sundstrand hydraulic pump</x:v>
      </x:c>
      <x:c r="B141" s="8" t="n">
        <x:v>0</x:v>
      </x:c>
      <x:c r="C141" s="9" t="n">
        <x:v>0</x:v>
      </x:c>
      <x:c r="D141" s="10" t="n">
        <x:v>0</x:v>
      </x:c>
      <x:c r="E141" s="12" t="n">
        <x:v>0</x:v>
      </x:c>
      <x:c r="F141" s="12" t="n">
        <x:v>0</x:v>
      </x:c>
      <x:c r="G141" s="11" t="n">
        <x:v>0</x:v>
      </x:c>
      <x:c r="H141" s="7" t="str"/>
    </x:row>
    <x:row r="142" ht="19" customHeight="1">
      <x:c r="A142" s="7" t="str">
        <x:v>danfoss sundstrand hydraulic motor</x:v>
      </x:c>
      <x:c r="B142" s="8" t="n">
        <x:v>0</x:v>
      </x:c>
      <x:c r="C142" s="9" t="n">
        <x:v>0</x:v>
      </x:c>
      <x:c r="D142" s="10" t="n">
        <x:v>0</x:v>
      </x:c>
      <x:c r="E142" s="12" t="n">
        <x:v>0</x:v>
      </x:c>
      <x:c r="F142" s="12" t="n">
        <x:v>0</x:v>
      </x:c>
      <x:c r="G142" s="11" t="n">
        <x:v>0</x:v>
      </x:c>
      <x:c r="H142" s="7" t="str"/>
    </x:row>
    <x:row r="143" ht="19" customHeight="1">
      <x:c r="A143" s="7" t="str">
        <x:v>danfoss sundstrand hydraulic valve</x:v>
      </x:c>
      <x:c r="B143" s="8" t="n">
        <x:v>0</x:v>
      </x:c>
      <x:c r="C143" s="9" t="n">
        <x:v>0</x:v>
      </x:c>
      <x:c r="D143" s="10" t="n">
        <x:v>0</x:v>
      </x:c>
      <x:c r="E143" s="12" t="n">
        <x:v>0</x:v>
      </x:c>
      <x:c r="F143" s="12" t="n">
        <x:v>0</x:v>
      </x:c>
      <x:c r="G143" s="11" t="n">
        <x:v>0</x:v>
      </x:c>
      <x:c r="H143" s="7" t="str"/>
    </x:row>
    <x:row r="144" ht="19" customHeight="1">
      <x:c r="A144" s="7" t="str">
        <x:v>danfoss sundstrand replacement</x:v>
      </x:c>
      <x:c r="B144" s="8" t="n">
        <x:v>0</x:v>
      </x:c>
      <x:c r="C144" s="9" t="n">
        <x:v>0</x:v>
      </x:c>
      <x:c r="D144" s="10" t="n">
        <x:v>0</x:v>
      </x:c>
      <x:c r="E144" s="12" t="n">
        <x:v>0</x:v>
      </x:c>
      <x:c r="F144" s="12" t="n">
        <x:v>0</x:v>
      </x:c>
      <x:c r="G144" s="11" t="n">
        <x:v>0</x:v>
      </x:c>
      <x:c r="H144" s="7" t="str"/>
    </x:row>
    <x:row r="145" ht="19" customHeight="1">
      <x:c r="A145" s="7" t="str">
        <x:v>danfoss sundstrand parts</x:v>
      </x:c>
      <x:c r="B145" s="8" t="n">
        <x:v>0</x:v>
      </x:c>
      <x:c r="C145" s="9" t="n">
        <x:v>0</x:v>
      </x:c>
      <x:c r="D145" s="10" t="n">
        <x:v>0</x:v>
      </x:c>
      <x:c r="E145" s="12" t="n">
        <x:v>0</x:v>
      </x:c>
      <x:c r="F145" s="12" t="n">
        <x:v>0</x:v>
      </x:c>
      <x:c r="G145" s="11" t="n">
        <x:v>0</x:v>
      </x:c>
      <x:c r="H145" s="7" t="str"/>
    </x:row>
    <x:row r="146" ht="19" customHeight="1">
      <x:c r="A146" s="7" t="str">
        <x:v>denison hydraulic pump</x:v>
      </x:c>
      <x:c r="B146" s="8" t="n">
        <x:v>50</x:v>
      </x:c>
      <x:c r="C146" s="9" t="n">
        <x:v>1.89</x:v>
      </x:c>
      <x:c r="D146" s="10" t="n">
        <x:v>0.69</x:v>
      </x:c>
      <x:c r="E146" s="12" t="n">
        <x:v>50</x:v>
      </x:c>
      <x:c r="F146" s="12" t="n">
        <x:v>57.5</x:v>
      </x:c>
      <x:c r="G146" s="11" t="n">
        <x:v>-0.13043478260869565</x:v>
      </x:c>
      <x:c r="H146" s="7" t="str">
        <x:v>Jul 2025:50 | Aug 2025:50 | Sep 2025:70 | Oct 2025:70 | Nov 2025:70 | Dec 2025:40 | Jan 2026:70 | Feb 2026:50 | Mar 2026:50 | Apr 2026:50 | May 2026:70 | Jun 2026:50</x:v>
      </x:c>
    </x:row>
    <x:row r="147" ht="19" customHeight="1">
      <x:c r="A147" s="7" t="str">
        <x:v>denison hydraulic motor</x:v>
      </x:c>
      <x:c r="B147" s="8" t="n">
        <x:v>10</x:v>
      </x:c>
      <x:c r="C147" s="9" t="n">
        <x:v>0</x:v>
      </x:c>
      <x:c r="D147" s="10" t="n">
        <x:v>0.78</x:v>
      </x:c>
      <x:c r="E147" s="12" t="n">
        <x:v>10</x:v>
      </x:c>
      <x:c r="F147" s="12" t="n">
        <x:v>10.833333333333334</x:v>
      </x:c>
      <x:c r="G147" s="11" t="n">
        <x:v>-0.07692307692307697</x:v>
      </x:c>
      <x:c r="H147" s="7" t="str">
        <x:v>Jul 2025:10 | Aug 2025:20 | Sep 2025:10 | Oct 2025:10 | Nov 2025:10 | Dec 2025:10 | Jan 2026:10 | Feb 2026:10 | Mar 2026:10 | Apr 2026:10 | May 2026:10 | Jun 2026:10</x:v>
      </x:c>
    </x:row>
    <x:row r="148" ht="19" customHeight="1">
      <x:c r="A148" s="7" t="str">
        <x:v>denison hydraulic valve</x:v>
      </x:c>
      <x:c r="B148" s="8" t="n">
        <x:v>10</x:v>
      </x:c>
      <x:c r="C148" s="9" t="n">
        <x:v>0</x:v>
      </x:c>
      <x:c r="D148" s="10" t="n">
        <x:v>0.19</x:v>
      </x:c>
      <x:c r="E148" s="12" t="n">
        <x:v>10</x:v>
      </x:c>
      <x:c r="F148" s="12" t="n">
        <x:v>10.833333333333334</x:v>
      </x:c>
      <x:c r="G148" s="11" t="n">
        <x:v>-0.07692307692307697</x:v>
      </x:c>
      <x:c r="H148" s="7" t="str">
        <x:v>Jul 2025:10 | Aug 2025:10 | Sep 2025:10 | Oct 2025:10 | Nov 2025:20 | Dec 2025:10 | Jan 2026:10 | Feb 2026:10 | Mar 2026:10 | Apr 2026:10 | May 2026:10 | Jun 2026:10</x:v>
      </x:c>
    </x:row>
    <x:row r="149" ht="19" customHeight="1">
      <x:c r="A149" s="7" t="str">
        <x:v>denison replacement</x:v>
      </x:c>
      <x:c r="B149" s="8" t="n">
        <x:v>0</x:v>
      </x:c>
      <x:c r="C149" s="9" t="n">
        <x:v>0</x:v>
      </x:c>
      <x:c r="D149" s="10" t="n">
        <x:v>0</x:v>
      </x:c>
      <x:c r="E149" s="12" t="n">
        <x:v>0</x:v>
      </x:c>
      <x:c r="F149" s="12" t="n">
        <x:v>0</x:v>
      </x:c>
      <x:c r="G149" s="11" t="n">
        <x:v>0</x:v>
      </x:c>
      <x:c r="H149" s="7" t="str"/>
    </x:row>
    <x:row r="150" ht="19" customHeight="1">
      <x:c r="A150" s="7" t="str">
        <x:v>denison parts</x:v>
      </x:c>
      <x:c r="B150" s="8" t="n">
        <x:v>10</x:v>
      </x:c>
      <x:c r="C150" s="9" t="n">
        <x:v>0</x:v>
      </x:c>
      <x:c r="D150" s="10" t="n">
        <x:v>0.35</x:v>
      </x:c>
      <x:c r="E150" s="12" t="n">
        <x:v>10</x:v>
      </x:c>
      <x:c r="F150" s="12" t="n">
        <x:v>10</x:v>
      </x:c>
      <x:c r="G150" s="11" t="n">
        <x:v>0</x:v>
      </x:c>
      <x:c r="H150" s="7" t="str">
        <x:v>Jul 2025:10 | Aug 2025:10 | Sep 2025:10 | Oct 2025:10 | Nov 2025:10 | Dec 2025:10 | Jan 2026:10 | Feb 2026:10 | Mar 2026:10 | Apr 2026:10 | May 2026:10 | Jun 2026:10</x:v>
      </x:c>
    </x:row>
    <x:row r="151" ht="19" customHeight="1">
      <x:c r="A151" s="7" t="str">
        <x:v>kawasaki hydraulic pump</x:v>
      </x:c>
      <x:c r="B151" s="8" t="n">
        <x:v>90</x:v>
      </x:c>
      <x:c r="C151" s="9" t="n">
        <x:v>1.83</x:v>
      </x:c>
      <x:c r="D151" s="10" t="n">
        <x:v>0.77</x:v>
      </x:c>
      <x:c r="E151" s="12" t="n">
        <x:v>70</x:v>
      </x:c>
      <x:c r="F151" s="12" t="n">
        <x:v>99.16666666666667</x:v>
      </x:c>
      <x:c r="G151" s="11" t="n">
        <x:v>-0.29411764705882354</x:v>
      </x:c>
      <x:c r="H151" s="7" t="str">
        <x:v>Jul 2025:70 | Aug 2025:90 | Sep 2025:70 | Oct 2025:110 | Nov 2025:110 | Dec 2025:170 | Jan 2026:70 | Feb 2026:90 | Mar 2026:140 | Apr 2026:110 | May 2026:90 | Jun 2026:70</x:v>
      </x:c>
    </x:row>
    <x:row r="152" ht="19" customHeight="1">
      <x:c r="A152" s="7" t="str">
        <x:v>kawasaki hydraulic motor</x:v>
      </x:c>
      <x:c r="B152" s="8" t="n">
        <x:v>20</x:v>
      </x:c>
      <x:c r="C152" s="9" t="n">
        <x:v>1.37</x:v>
      </x:c>
      <x:c r="D152" s="10" t="n">
        <x:v>0.41</x:v>
      </x:c>
      <x:c r="E152" s="12" t="n">
        <x:v>10</x:v>
      </x:c>
      <x:c r="F152" s="12" t="n">
        <x:v>14.166666666666666</x:v>
      </x:c>
      <x:c r="G152" s="11" t="n">
        <x:v>-0.2941176470588235</x:v>
      </x:c>
      <x:c r="H152" s="7" t="str">
        <x:v>Jul 2025:20 | Aug 2025:20 | Sep 2025:20 | Oct 2025:20 | Nov 2025:10 | Dec 2025:10 | Jan 2026:10 | Feb 2026:10 | Mar 2026:10 | Apr 2026:20 | May 2026:10 | Jun 2026:10</x:v>
      </x:c>
    </x:row>
    <x:row r="153" ht="19" customHeight="1">
      <x:c r="A153" s="7" t="str">
        <x:v>kawasaki hydraulic valve</x:v>
      </x:c>
      <x:c r="B153" s="8" t="n">
        <x:v>10</x:v>
      </x:c>
      <x:c r="C153" s="9" t="n">
        <x:v>0</x:v>
      </x:c>
      <x:c r="D153" s="10" t="n">
        <x:v>0</x:v>
      </x:c>
      <x:c r="E153" s="12" t="n">
        <x:v>0</x:v>
      </x:c>
      <x:c r="F153" s="12" t="n">
        <x:v>10</x:v>
      </x:c>
      <x:c r="G153" s="11" t="n">
        <x:v>-1</x:v>
      </x:c>
      <x:c r="H153" s="7" t="str">
        <x:v>Jul 2025:20 | Aug 2025:10 | Sep 2025:10 | Oct 2025:10 | Nov 2025:10 | Dec 2025:10 | Jan 2026:10 | Feb 2026:10 | Mar 2026:10 | Apr 2026:10 | May 2026:10 | Jun 2026:0</x:v>
      </x:c>
    </x:row>
    <x:row r="154" ht="19" customHeight="1">
      <x:c r="A154" s="7" t="str">
        <x:v>kawasaki replacement</x:v>
      </x:c>
      <x:c r="B154" s="8" t="n">
        <x:v>0</x:v>
      </x:c>
      <x:c r="C154" s="9" t="n">
        <x:v>0</x:v>
      </x:c>
      <x:c r="D154" s="10" t="n">
        <x:v>0</x:v>
      </x:c>
      <x:c r="E154" s="12" t="n">
        <x:v>0</x:v>
      </x:c>
      <x:c r="F154" s="12" t="n">
        <x:v>0</x:v>
      </x:c>
      <x:c r="G154" s="11" t="n">
        <x:v>0</x:v>
      </x:c>
      <x:c r="H154" s="7" t="str"/>
    </x:row>
    <x:row r="155" ht="19" customHeight="1">
      <x:c r="A155" s="7" t="str">
        <x:v>kawasaki parts</x:v>
      </x:c>
      <x:c r="B155" s="8" t="n">
        <x:v>6600</x:v>
      </x:c>
      <x:c r="C155" s="9" t="n">
        <x:v>0.46</x:v>
      </x:c>
      <x:c r="D155" s="10" t="n">
        <x:v>0.75</x:v>
      </x:c>
      <x:c r="E155" s="12" t="n">
        <x:v>8100</x:v>
      </x:c>
      <x:c r="F155" s="12" t="n">
        <x:v>6908.333333333333</x:v>
      </x:c>
      <x:c r="G155" s="11" t="n">
        <x:v>0.17249698431845603</x:v>
      </x:c>
      <x:c r="H155" s="7" t="str">
        <x:v>Jul 2025:8100 | Aug 2025:8100 | Sep 2025:8100 | Oct 2025:6600 | Nov 2025:5400 | Dec 2025:4400 | Jan 2026:4400 | Feb 2026:5400 | Mar 2026:8100 | Apr 2026:8100 | May 2026:8100 | Jun 2026:8100</x:v>
      </x:c>
    </x:row>
    <x:row r="156" ht="19" customHeight="1">
      <x:c r="A156" s="7" t="str">
        <x:v>yuken hydraulic pump</x:v>
      </x:c>
      <x:c r="B156" s="8" t="n">
        <x:v>10</x:v>
      </x:c>
      <x:c r="C156" s="9" t="n">
        <x:v>1.4</x:v>
      </x:c>
      <x:c r="D156" s="10" t="n">
        <x:v>0.67</x:v>
      </x:c>
      <x:c r="E156" s="12" t="n">
        <x:v>20</x:v>
      </x:c>
      <x:c r="F156" s="12" t="n">
        <x:v>13.333333333333334</x:v>
      </x:c>
      <x:c r="G156" s="11" t="n">
        <x:v>0.49999999999999994</x:v>
      </x:c>
      <x:c r="H156" s="7" t="str">
        <x:v>Jul 2025:20 | Aug 2025:10 | Sep 2025:10 | Oct 2025:10 | Nov 2025:10 | Dec 2025:10 | Jan 2026:10 | Feb 2026:10 | Mar 2026:10 | Apr 2026:20 | May 2026:20 | Jun 2026:20</x:v>
      </x:c>
    </x:row>
    <x:row r="157" ht="19" customHeight="1">
      <x:c r="A157" s="7" t="str">
        <x:v>yuken hydraulic motor</x:v>
      </x:c>
      <x:c r="B157" s="8" t="n">
        <x:v>10</x:v>
      </x:c>
      <x:c r="C157" s="9" t="n">
        <x:v>0</x:v>
      </x:c>
      <x:c r="D157" s="10" t="n">
        <x:v>0</x:v>
      </x:c>
      <x:c r="E157" s="12" t="n">
        <x:v>0</x:v>
      </x:c>
      <x:c r="F157" s="12" t="n">
        <x:v>5.833333333333333</x:v>
      </x:c>
      <x:c r="G157" s="11" t="n">
        <x:v>-1</x:v>
      </x:c>
      <x:c r="H157" s="7" t="str">
        <x:v>Jul 2025:10 | Aug 2025:0 | Sep 2025:10 | Oct 2025:0 | Nov 2025:10 | Dec 2025:10 | Jan 2026:0 | Feb 2026:0 | Mar 2026:10 | Apr 2026:10 | May 2026:10 | Jun 2026:0</x:v>
      </x:c>
    </x:row>
    <x:row r="158" ht="19" customHeight="1">
      <x:c r="A158" s="7" t="str">
        <x:v>yuken hydraulic valve</x:v>
      </x:c>
      <x:c r="B158" s="8" t="n">
        <x:v>20</x:v>
      </x:c>
      <x:c r="C158" s="9" t="n">
        <x:v>0</x:v>
      </x:c>
      <x:c r="D158" s="10" t="n">
        <x:v>0.73</x:v>
      </x:c>
      <x:c r="E158" s="12" t="n">
        <x:v>10</x:v>
      </x:c>
      <x:c r="F158" s="12" t="n">
        <x:v>18.333333333333332</x:v>
      </x:c>
      <x:c r="G158" s="11" t="n">
        <x:v>-0.45454545454545453</x:v>
      </x:c>
      <x:c r="H158" s="7" t="str">
        <x:v>Jul 2025:20 | Aug 2025:30 | Sep 2025:20 | Oct 2025:20 | Nov 2025:30 | Dec 2025:10 | Jan 2026:10 | Feb 2026:20 | Mar 2026:20 | Apr 2026:10 | May 2026:20 | Jun 2026:10</x:v>
      </x:c>
    </x:row>
    <x:row r="159" ht="19" customHeight="1">
      <x:c r="A159" s="7" t="str">
        <x:v>yuken replacement</x:v>
      </x:c>
      <x:c r="B159" s="8" t="n">
        <x:v>0</x:v>
      </x:c>
      <x:c r="C159" s="9" t="n">
        <x:v>0</x:v>
      </x:c>
      <x:c r="D159" s="10" t="n">
        <x:v>0</x:v>
      </x:c>
      <x:c r="E159" s="12" t="n">
        <x:v>0</x:v>
      </x:c>
      <x:c r="F159" s="12" t="n">
        <x:v>0</x:v>
      </x:c>
      <x:c r="G159" s="11" t="n">
        <x:v>0</x:v>
      </x:c>
      <x:c r="H159" s="7" t="str"/>
    </x:row>
    <x:row r="160" ht="19" customHeight="1">
      <x:c r="A160" s="7" t="str">
        <x:v>yuken parts</x:v>
      </x:c>
      <x:c r="B160" s="8" t="n">
        <x:v>0</x:v>
      </x:c>
      <x:c r="C160" s="9" t="n">
        <x:v>0</x:v>
      </x:c>
      <x:c r="D160" s="10" t="n">
        <x:v>0</x:v>
      </x:c>
      <x:c r="E160" s="12" t="n">
        <x:v>0</x:v>
      </x:c>
      <x:c r="F160" s="12" t="n">
        <x:v>0</x:v>
      </x:c>
      <x:c r="G160" s="11" t="n">
        <x:v>0</x:v>
      </x:c>
      <x:c r="H160" s="7" t="str"/>
    </x:row>
    <x:row r="161" ht="19" customHeight="1">
      <x:c r="A161" s="7" t="str">
        <x:v>nachi hydraulic pump</x:v>
      </x:c>
      <x:c r="B161" s="8" t="n">
        <x:v>40</x:v>
      </x:c>
      <x:c r="C161" s="9" t="n">
        <x:v>1.39</x:v>
      </x:c>
      <x:c r="D161" s="10" t="n">
        <x:v>1</x:v>
      </x:c>
      <x:c r="E161" s="12" t="n">
        <x:v>40</x:v>
      </x:c>
      <x:c r="F161" s="12" t="n">
        <x:v>36.666666666666664</x:v>
      </x:c>
      <x:c r="G161" s="11" t="n">
        <x:v>0.09090909090909098</x:v>
      </x:c>
      <x:c r="H161" s="7" t="str">
        <x:v>Jul 2025:40 | Aug 2025:30 | Sep 2025:30 | Oct 2025:30 | Nov 2025:30 | Dec 2025:30 | Jan 2026:30 | Feb 2026:40 | Mar 2026:50 | Apr 2026:50 | May 2026:40 | Jun 2026:40</x:v>
      </x:c>
    </x:row>
    <x:row r="162" ht="19" customHeight="1">
      <x:c r="A162" s="7" t="str">
        <x:v>nachi hydraulic motor</x:v>
      </x:c>
      <x:c r="B162" s="8" t="n">
        <x:v>10</x:v>
      </x:c>
      <x:c r="C162" s="9" t="n">
        <x:v>0</x:v>
      </x:c>
      <x:c r="D162" s="10" t="n">
        <x:v>1</x:v>
      </x:c>
      <x:c r="E162" s="12" t="n">
        <x:v>10</x:v>
      </x:c>
      <x:c r="F162" s="12" t="n">
        <x:v>10</x:v>
      </x:c>
      <x:c r="G162" s="11" t="n">
        <x:v>0</x:v>
      </x:c>
      <x:c r="H162" s="7" t="str">
        <x:v>Jul 2025:10 | Aug 2025:10 | Sep 2025:10 | Oct 2025:10 | Nov 2025:10 | Dec 2025:10 | Jan 2026:10 | Feb 2026:10 | Mar 2026:10 | Apr 2026:10 | May 2026:10 | Jun 2026:10</x:v>
      </x:c>
    </x:row>
    <x:row r="163" ht="19" customHeight="1">
      <x:c r="A163" s="7" t="str">
        <x:v>nachi hydraulic valve</x:v>
      </x:c>
      <x:c r="B163" s="8" t="n">
        <x:v>30</x:v>
      </x:c>
      <x:c r="C163" s="9" t="n">
        <x:v>1.57</x:v>
      </x:c>
      <x:c r="D163" s="10" t="n">
        <x:v>0.82</x:v>
      </x:c>
      <x:c r="E163" s="12" t="n">
        <x:v>20</x:v>
      </x:c>
      <x:c r="F163" s="12" t="n">
        <x:v>33.333333333333336</x:v>
      </x:c>
      <x:c r="G163" s="11" t="n">
        <x:v>-0.4</x:v>
      </x:c>
      <x:c r="H163" s="7" t="str">
        <x:v>Jul 2025:20 | Aug 2025:40 | Sep 2025:30 | Oct 2025:40 | Nov 2025:40 | Dec 2025:30 | Jan 2026:40 | Feb 2026:30 | Mar 2026:40 | Apr 2026:40 | May 2026:30 | Jun 2026:20</x:v>
      </x:c>
    </x:row>
    <x:row r="164" ht="19" customHeight="1">
      <x:c r="A164" s="7" t="str">
        <x:v>nachi replacement</x:v>
      </x:c>
      <x:c r="B164" s="8" t="n">
        <x:v>0</x:v>
      </x:c>
      <x:c r="C164" s="9" t="n">
        <x:v>0</x:v>
      </x:c>
      <x:c r="D164" s="10" t="n">
        <x:v>0</x:v>
      </x:c>
      <x:c r="E164" s="12" t="n">
        <x:v>0</x:v>
      </x:c>
      <x:c r="F164" s="12" t="n">
        <x:v>0</x:v>
      </x:c>
      <x:c r="G164" s="11" t="n">
        <x:v>0</x:v>
      </x:c>
      <x:c r="H164" s="7" t="str"/>
    </x:row>
    <x:row r="165" ht="19" customHeight="1">
      <x:c r="A165" s="7" t="str">
        <x:v>nachi parts</x:v>
      </x:c>
      <x:c r="B165" s="8" t="n">
        <x:v>10</x:v>
      </x:c>
      <x:c r="C165" s="9" t="n">
        <x:v>0</x:v>
      </x:c>
      <x:c r="D165" s="10" t="n">
        <x:v>0</x:v>
      </x:c>
      <x:c r="E165" s="12" t="n">
        <x:v>10</x:v>
      </x:c>
      <x:c r="F165" s="12" t="n">
        <x:v>10</x:v>
      </x:c>
      <x:c r="G165" s="11" t="n">
        <x:v>0</x:v>
      </x:c>
      <x:c r="H165" s="7" t="str">
        <x:v>Jul 2025:10 | Aug 2025:10 | Sep 2025:10 | Oct 2025:10 | Nov 2025:10 | Dec 2025:10 | Jan 2026:10 | Feb 2026:10 | Mar 2026:10 | Apr 2026:10 | May 2026:10 | Jun 2026:10</x:v>
      </x:c>
    </x:row>
    <x:row r="166" ht="19" customHeight="1">
      <x:c r="A166" s="7" t="str">
        <x:v>linde hydraulic pump</x:v>
      </x:c>
      <x:c r="B166" s="8" t="n">
        <x:v>40</x:v>
      </x:c>
      <x:c r="C166" s="9" t="n">
        <x:v>1.86</x:v>
      </x:c>
      <x:c r="D166" s="10" t="n">
        <x:v>0.76</x:v>
      </x:c>
      <x:c r="E166" s="12" t="n">
        <x:v>20</x:v>
      </x:c>
      <x:c r="F166" s="12" t="n">
        <x:v>41.666666666666664</x:v>
      </x:c>
      <x:c r="G166" s="11" t="n">
        <x:v>-0.52</x:v>
      </x:c>
      <x:c r="H166" s="7" t="str">
        <x:v>Jul 2025:30 | Aug 2025:50 | Sep 2025:70 | Oct 2025:30 | Nov 2025:40 | Dec 2025:50 | Jan 2026:50 | Feb 2026:30 | Mar 2026:50 | Apr 2026:50 | May 2026:30 | Jun 2026:20</x:v>
      </x:c>
    </x:row>
    <x:row r="167" ht="19" customHeight="1">
      <x:c r="A167" s="7" t="str">
        <x:v>linde hydraulic motor</x:v>
      </x:c>
      <x:c r="B167" s="8" t="n">
        <x:v>30</x:v>
      </x:c>
      <x:c r="C167" s="9" t="n">
        <x:v>1.77</x:v>
      </x:c>
      <x:c r="D167" s="10" t="n">
        <x:v>0.54</x:v>
      </x:c>
      <x:c r="E167" s="12" t="n">
        <x:v>40</x:v>
      </x:c>
      <x:c r="F167" s="12" t="n">
        <x:v>27.5</x:v>
      </x:c>
      <x:c r="G167" s="11" t="n">
        <x:v>0.45454545454545453</x:v>
      </x:c>
      <x:c r="H167" s="7" t="str">
        <x:v>Jul 2025:30 | Aug 2025:10 | Sep 2025:30 | Oct 2025:20 | Nov 2025:20 | Dec 2025:30 | Jan 2026:20 | Feb 2026:30 | Mar 2026:50 | Apr 2026:30 | May 2026:20 | Jun 2026:40</x:v>
      </x:c>
    </x:row>
    <x:row r="168" ht="19" customHeight="1">
      <x:c r="A168" s="7" t="str">
        <x:v>linde hydraulic valve</x:v>
      </x:c>
      <x:c r="B168" s="8" t="n">
        <x:v>0</x:v>
      </x:c>
      <x:c r="C168" s="9" t="n">
        <x:v>0</x:v>
      </x:c>
      <x:c r="D168" s="10" t="n">
        <x:v>0</x:v>
      </x:c>
      <x:c r="E168" s="12" t="n">
        <x:v>0</x:v>
      </x:c>
      <x:c r="F168" s="12" t="n">
        <x:v>0</x:v>
      </x:c>
      <x:c r="G168" s="11" t="n">
        <x:v>0</x:v>
      </x:c>
      <x:c r="H168" s="7" t="str"/>
    </x:row>
    <x:row r="169" ht="19" customHeight="1">
      <x:c r="A169" s="7" t="str">
        <x:v>linde replacement</x:v>
      </x:c>
      <x:c r="B169" s="8" t="n">
        <x:v>0</x:v>
      </x:c>
      <x:c r="C169" s="9" t="n">
        <x:v>0</x:v>
      </x:c>
      <x:c r="D169" s="10" t="n">
        <x:v>0</x:v>
      </x:c>
      <x:c r="E169" s="12" t="n">
        <x:v>0</x:v>
      </x:c>
      <x:c r="F169" s="12" t="n">
        <x:v>0</x:v>
      </x:c>
      <x:c r="G169" s="11" t="n">
        <x:v>0</x:v>
      </x:c>
      <x:c r="H169" s="7" t="str"/>
    </x:row>
    <x:row r="170" ht="19" customHeight="1">
      <x:c r="A170" s="7" t="str">
        <x:v>linde parts</x:v>
      </x:c>
      <x:c r="B170" s="8" t="n">
        <x:v>40</x:v>
      </x:c>
      <x:c r="C170" s="9" t="n">
        <x:v>1.8</x:v>
      </x:c>
      <x:c r="D170" s="10" t="n">
        <x:v>0.39</x:v>
      </x:c>
      <x:c r="E170" s="12" t="n">
        <x:v>20</x:v>
      </x:c>
      <x:c r="F170" s="12" t="n">
        <x:v>34.166666666666664</x:v>
      </x:c>
      <x:c r="G170" s="11" t="n">
        <x:v>-0.4146341463414634</x:v>
      </x:c>
      <x:c r="H170" s="7" t="str">
        <x:v>Jul 2025:20 | Aug 2025:40 | Sep 2025:40 | Oct 2025:40 | Nov 2025:40 | Dec 2025:40 | Jan 2026:40 | Feb 2026:30 | Mar 2026:40 | Apr 2026:40 | May 2026:20 | Jun 2026:20</x:v>
      </x:c>
    </x:row>
    <x:row r="171" ht="19" customHeight="1">
      <x:c r="A171" s="7" t="str">
        <x:v>atos hydraulic pump</x:v>
      </x:c>
      <x:c r="B171" s="8" t="n">
        <x:v>10</x:v>
      </x:c>
      <x:c r="C171" s="9" t="n">
        <x:v>0</x:v>
      </x:c>
      <x:c r="D171" s="10" t="n">
        <x:v>0.64</x:v>
      </x:c>
      <x:c r="E171" s="12" t="n">
        <x:v>10</x:v>
      </x:c>
      <x:c r="F171" s="12" t="n">
        <x:v>10.833333333333334</x:v>
      </x:c>
      <x:c r="G171" s="11" t="n">
        <x:v>-0.07692307692307697</x:v>
      </x:c>
      <x:c r="H171" s="7" t="str">
        <x:v>Jul 2025:10 | Aug 2025:10 | Sep 2025:20 | Oct 2025:10 | Nov 2025:10 | Dec 2025:10 | Jan 2026:10 | Feb 2026:10 | Mar 2026:10 | Apr 2026:10 | May 2026:10 | Jun 2026:10</x:v>
      </x:c>
    </x:row>
    <x:row r="172" ht="19" customHeight="1">
      <x:c r="A172" s="7" t="str">
        <x:v>atos hydraulic motor</x:v>
      </x:c>
      <x:c r="B172" s="8" t="n">
        <x:v>0</x:v>
      </x:c>
      <x:c r="C172" s="9" t="n">
        <x:v>0</x:v>
      </x:c>
      <x:c r="D172" s="10" t="n">
        <x:v>0</x:v>
      </x:c>
      <x:c r="E172" s="12" t="n">
        <x:v>0</x:v>
      </x:c>
      <x:c r="F172" s="12" t="n">
        <x:v>0</x:v>
      </x:c>
      <x:c r="G172" s="11" t="n">
        <x:v>0</x:v>
      </x:c>
      <x:c r="H172" s="7" t="str"/>
    </x:row>
    <x:row r="173" ht="19" customHeight="1">
      <x:c r="A173" s="7" t="str">
        <x:v>atos hydraulic valve</x:v>
      </x:c>
      <x:c r="B173" s="8" t="n">
        <x:v>170</x:v>
      </x:c>
      <x:c r="C173" s="9" t="n">
        <x:v>2.17</x:v>
      </x:c>
      <x:c r="D173" s="10" t="n">
        <x:v>0.55</x:v>
      </x:c>
      <x:c r="E173" s="12" t="n">
        <x:v>210</x:v>
      </x:c>
      <x:c r="F173" s="12" t="n">
        <x:v>187.5</x:v>
      </x:c>
      <x:c r="G173" s="11" t="n">
        <x:v>0.12</x:v>
      </x:c>
      <x:c r="H173" s="7" t="str">
        <x:v>Jul 2025:170 | Aug 2025:210 | Sep 2025:210 | Oct 2025:210 | Nov 2025:170 | Dec 2025:140 | Jan 2026:170 | Feb 2026:170 | Mar 2026:210 | Apr 2026:210 | May 2026:170 | Jun 2026:210</x:v>
      </x:c>
    </x:row>
    <x:row r="174" ht="19" customHeight="1">
      <x:c r="A174" s="7" t="str">
        <x:v>atos replacement</x:v>
      </x:c>
      <x:c r="B174" s="8" t="n">
        <x:v>0</x:v>
      </x:c>
      <x:c r="C174" s="9" t="n">
        <x:v>0</x:v>
      </x:c>
      <x:c r="D174" s="10" t="n">
        <x:v>0</x:v>
      </x:c>
      <x:c r="E174" s="12" t="n">
        <x:v>0</x:v>
      </x:c>
      <x:c r="F174" s="12" t="n">
        <x:v>0</x:v>
      </x:c>
      <x:c r="G174" s="11" t="n">
        <x:v>0</x:v>
      </x:c>
      <x:c r="H174" s="7" t="str"/>
    </x:row>
    <x:row r="175" ht="19" customHeight="1">
      <x:c r="A175" s="7" t="str">
        <x:v>atos parts</x:v>
      </x:c>
      <x:c r="B175" s="8" t="n">
        <x:v>0</x:v>
      </x:c>
      <x:c r="C175" s="9" t="n">
        <x:v>0</x:v>
      </x:c>
      <x:c r="D175" s="10" t="n">
        <x:v>0</x:v>
      </x:c>
      <x:c r="E175" s="12" t="n">
        <x:v>0</x:v>
      </x:c>
      <x:c r="F175" s="12" t="n">
        <x:v>0</x:v>
      </x:c>
      <x:c r="G175" s="11" t="n">
        <x:v>0</x:v>
      </x:c>
      <x:c r="H175" s="7" t="str"/>
    </x:row>
    <x:row r="176" ht="19" customHeight="1">
      <x:c r="A176" s="7" t="str">
        <x:v>hawe hydraulic pump</x:v>
      </x:c>
      <x:c r="B176" s="8" t="n">
        <x:v>20</x:v>
      </x:c>
      <x:c r="C176" s="9" t="n">
        <x:v>1.37</x:v>
      </x:c>
      <x:c r="D176" s="10" t="n">
        <x:v>0.51</x:v>
      </x:c>
      <x:c r="E176" s="12" t="n">
        <x:v>20</x:v>
      </x:c>
      <x:c r="F176" s="12" t="n">
        <x:v>23.333333333333332</x:v>
      </x:c>
      <x:c r="G176" s="11" t="n">
        <x:v>-0.14285714285714282</x:v>
      </x:c>
      <x:c r="H176" s="7" t="str">
        <x:v>Jul 2025:30 | Aug 2025:20 | Sep 2025:20 | Oct 2025:40 | Nov 2025:10 | Dec 2025:20 | Jan 2026:20 | Feb 2026:40 | Mar 2026:10 | Apr 2026:30 | May 2026:20 | Jun 2026:20</x:v>
      </x:c>
    </x:row>
    <x:row r="177" ht="19" customHeight="1">
      <x:c r="A177" s="7" t="str">
        <x:v>hawe hydraulic motor</x:v>
      </x:c>
      <x:c r="B177" s="8" t="n">
        <x:v>0</x:v>
      </x:c>
      <x:c r="C177" s="9" t="n">
        <x:v>0</x:v>
      </x:c>
      <x:c r="D177" s="10" t="n">
        <x:v>0</x:v>
      </x:c>
      <x:c r="E177" s="12" t="n">
        <x:v>0</x:v>
      </x:c>
      <x:c r="F177" s="12" t="n">
        <x:v>0</x:v>
      </x:c>
      <x:c r="G177" s="11" t="n">
        <x:v>0</x:v>
      </x:c>
      <x:c r="H177" s="7" t="str"/>
    </x:row>
    <x:row r="178" ht="19" customHeight="1">
      <x:c r="A178" s="7" t="str">
        <x:v>hawe hydraulic valve</x:v>
      </x:c>
      <x:c r="B178" s="8" t="n">
        <x:v>110</x:v>
      </x:c>
      <x:c r="C178" s="9" t="n">
        <x:v>1.49</x:v>
      </x:c>
      <x:c r="D178" s="10" t="n">
        <x:v>0.91</x:v>
      </x:c>
      <x:c r="E178" s="12" t="n">
        <x:v>110</x:v>
      </x:c>
      <x:c r="F178" s="12" t="n">
        <x:v>111.66666666666667</x:v>
      </x:c>
      <x:c r="G178" s="11" t="n">
        <x:v>-0.0149253731343284</x:v>
      </x:c>
      <x:c r="H178" s="7" t="str">
        <x:v>Jul 2025:110 | Aug 2025:140 | Sep 2025:110 | Oct 2025:110 | Nov 2025:90 | Dec 2025:70 | Jan 2026:90 | Feb 2026:110 | Mar 2026:170 | Apr 2026:140 | May 2026:90 | Jun 2026:110</x:v>
      </x:c>
    </x:row>
    <x:row r="179" ht="19" customHeight="1">
      <x:c r="A179" s="7" t="str">
        <x:v>hawe replacement</x:v>
      </x:c>
      <x:c r="B179" s="8" t="n">
        <x:v>0</x:v>
      </x:c>
      <x:c r="C179" s="9" t="n">
        <x:v>0</x:v>
      </x:c>
      <x:c r="D179" s="10" t="n">
        <x:v>0</x:v>
      </x:c>
      <x:c r="E179" s="12" t="n">
        <x:v>0</x:v>
      </x:c>
      <x:c r="F179" s="12" t="n">
        <x:v>0</x:v>
      </x:c>
      <x:c r="G179" s="11" t="n">
        <x:v>0</x:v>
      </x:c>
      <x:c r="H179" s="7" t="str"/>
    </x:row>
    <x:row r="180" ht="19" customHeight="1">
      <x:c r="A180" s="7" t="str">
        <x:v>hawe parts</x:v>
      </x:c>
      <x:c r="B180" s="8" t="n">
        <x:v>10</x:v>
      </x:c>
      <x:c r="C180" s="9" t="n">
        <x:v>0</x:v>
      </x:c>
      <x:c r="D180" s="10" t="n">
        <x:v>0.12</x:v>
      </x:c>
      <x:c r="E180" s="12" t="n">
        <x:v>10</x:v>
      </x:c>
      <x:c r="F180" s="12" t="n">
        <x:v>9.166666666666666</x:v>
      </x:c>
      <x:c r="G180" s="11" t="n">
        <x:v>0.09090909090909098</x:v>
      </x:c>
      <x:c r="H180" s="7" t="str">
        <x:v>Jul 2025:10 | Aug 2025:10 | Sep 2025:10 | Oct 2025:10 | Nov 2025:10 | Dec 2025:10 | Jan 2026:10 | Feb 2026:10 | Mar 2026:10 | Apr 2026:0 | May 2026:10 | Jun 2026:10</x:v>
      </x:c>
    </x:row>
    <x:row r="181" ht="19" customHeight="1">
      <x:c r="A181" s="7" t="str">
        <x:v>moog hydraulic pump</x:v>
      </x:c>
      <x:c r="B181" s="8" t="n">
        <x:v>10</x:v>
      </x:c>
      <x:c r="C181" s="9" t="n">
        <x:v>0</x:v>
      </x:c>
      <x:c r="D181" s="10" t="n">
        <x:v>0.54</x:v>
      </x:c>
      <x:c r="E181" s="12" t="n">
        <x:v>10</x:v>
      </x:c>
      <x:c r="F181" s="12" t="n">
        <x:v>11.666666666666666</x:v>
      </x:c>
      <x:c r="G181" s="11" t="n">
        <x:v>-0.14285714285714282</x:v>
      </x:c>
      <x:c r="H181" s="7" t="str">
        <x:v>Jul 2025:10 | Aug 2025:10 | Sep 2025:20 | Oct 2025:10 | Nov 2025:20 | Dec 2025:10 | Jan 2026:10 | Feb 2026:10 | Mar 2026:10 | Apr 2026:10 | May 2026:10 | Jun 2026:10</x:v>
      </x:c>
    </x:row>
    <x:row r="182" ht="19" customHeight="1">
      <x:c r="A182" s="7" t="str">
        <x:v>moog hydraulic motor</x:v>
      </x:c>
      <x:c r="B182" s="8" t="n">
        <x:v>0</x:v>
      </x:c>
      <x:c r="C182" s="9" t="n">
        <x:v>0</x:v>
      </x:c>
      <x:c r="D182" s="10" t="n">
        <x:v>0</x:v>
      </x:c>
      <x:c r="E182" s="12" t="n">
        <x:v>0</x:v>
      </x:c>
      <x:c r="F182" s="12" t="n">
        <x:v>0</x:v>
      </x:c>
      <x:c r="G182" s="11" t="n">
        <x:v>0</x:v>
      </x:c>
      <x:c r="H182" s="7" t="str"/>
    </x:row>
    <x:row r="183" ht="19" customHeight="1">
      <x:c r="A183" s="7" t="str">
        <x:v>moog hydraulic valve</x:v>
      </x:c>
      <x:c r="B183" s="8" t="n">
        <x:v>10</x:v>
      </x:c>
      <x:c r="C183" s="9" t="n">
        <x:v>0</x:v>
      </x:c>
      <x:c r="D183" s="10" t="n">
        <x:v>0.65</x:v>
      </x:c>
      <x:c r="E183" s="12" t="n">
        <x:v>10</x:v>
      </x:c>
      <x:c r="F183" s="12" t="n">
        <x:v>10</x:v>
      </x:c>
      <x:c r="G183" s="11" t="n">
        <x:v>0</x:v>
      </x:c>
      <x:c r="H183" s="7" t="str">
        <x:v>Jul 2025:10 | Aug 2025:10 | Sep 2025:10 | Oct 2025:10 | Nov 2025:10 | Dec 2025:10 | Jan 2026:10 | Feb 2026:10 | Mar 2026:10 | Apr 2026:10 | May 2026:10 | Jun 2026:10</x:v>
      </x:c>
    </x:row>
    <x:row r="184" ht="19" customHeight="1">
      <x:c r="A184" s="7" t="str">
        <x:v>moog replacement</x:v>
      </x:c>
      <x:c r="B184" s="8" t="n">
        <x:v>0</x:v>
      </x:c>
      <x:c r="C184" s="9" t="n">
        <x:v>0</x:v>
      </x:c>
      <x:c r="D184" s="10" t="n">
        <x:v>0</x:v>
      </x:c>
      <x:c r="E184" s="12" t="n">
        <x:v>0</x:v>
      </x:c>
      <x:c r="F184" s="12" t="n">
        <x:v>0</x:v>
      </x:c>
      <x:c r="G184" s="11" t="n">
        <x:v>0</x:v>
      </x:c>
      <x:c r="H184" s="7" t="str"/>
    </x:row>
    <x:row r="185" ht="19" customHeight="1">
      <x:c r="A185" s="7" t="str">
        <x:v>moog parts</x:v>
      </x:c>
      <x:c r="B185" s="8" t="n">
        <x:v>30</x:v>
      </x:c>
      <x:c r="C185" s="9" t="n">
        <x:v>0.29</x:v>
      </x:c>
      <x:c r="D185" s="10" t="n">
        <x:v>0.61</x:v>
      </x:c>
      <x:c r="E185" s="12" t="n">
        <x:v>40</x:v>
      </x:c>
      <x:c r="F185" s="12" t="n">
        <x:v>31.666666666666668</x:v>
      </x:c>
      <x:c r="G185" s="11" t="n">
        <x:v>0.26315789473684204</x:v>
      </x:c>
      <x:c r="H185" s="7" t="str">
        <x:v>Jul 2025:30 | Aug 2025:30 | Sep 2025:30 | Oct 2025:30 | Nov 2025:30 | Dec 2025:30 | Jan 2026:30 | Feb 2026:30 | Mar 2026:40 | Apr 2026:30 | May 2026:30 | Jun 2026:40</x:v>
      </x:c>
    </x:row>
    <x:row r="186" ht="19" customHeight="1">
      <x:c r="A186" s="7" t="str">
        <x:v>poclain hydraulic pump</x:v>
      </x:c>
      <x:c r="B186" s="8" t="n">
        <x:v>10</x:v>
      </x:c>
      <x:c r="C186" s="9" t="n">
        <x:v>0</x:v>
      </x:c>
      <x:c r="D186" s="10" t="n">
        <x:v>0.26</x:v>
      </x:c>
      <x:c r="E186" s="12" t="n">
        <x:v>10</x:v>
      </x:c>
      <x:c r="F186" s="12" t="n">
        <x:v>11.666666666666666</x:v>
      </x:c>
      <x:c r="G186" s="11" t="n">
        <x:v>-0.14285714285714282</x:v>
      </x:c>
      <x:c r="H186" s="7" t="str">
        <x:v>Jul 2025:10 | Aug 2025:10 | Sep 2025:10 | Oct 2025:10 | Nov 2025:10 | Dec 2025:20 | Jan 2026:10 | Feb 2026:10 | Mar 2026:10 | Apr 2026:10 | May 2026:20 | Jun 2026:10</x:v>
      </x:c>
    </x:row>
    <x:row r="187" ht="19" customHeight="1">
      <x:c r="A187" s="7" t="str">
        <x:v>poclain hydraulic motor</x:v>
      </x:c>
      <x:c r="B187" s="8" t="n">
        <x:v>110</x:v>
      </x:c>
      <x:c r="C187" s="9" t="n">
        <x:v>2.68</x:v>
      </x:c>
      <x:c r="D187" s="10" t="n">
        <x:v>0.76</x:v>
      </x:c>
      <x:c r="E187" s="12" t="n">
        <x:v>90</x:v>
      </x:c>
      <x:c r="F187" s="12" t="n">
        <x:v>115</x:v>
      </x:c>
      <x:c r="G187" s="11" t="n">
        <x:v>-0.21739130434782608</x:v>
      </x:c>
      <x:c r="H187" s="7" t="str">
        <x:v>Jul 2025:90 | Aug 2025:140 | Sep 2025:110 | Oct 2025:140 | Nov 2025:110 | Dec 2025:110 | Jan 2026:110 | Feb 2026:140 | Mar 2026:90 | Apr 2026:110 | May 2026:140 | Jun 2026:90</x:v>
      </x:c>
    </x:row>
    <x:row r="188" ht="19" customHeight="1">
      <x:c r="A188" s="7" t="str">
        <x:v>poclain hydraulic valve</x:v>
      </x:c>
      <x:c r="B188" s="8" t="n">
        <x:v>0</x:v>
      </x:c>
      <x:c r="C188" s="9" t="n">
        <x:v>0</x:v>
      </x:c>
      <x:c r="D188" s="10" t="n">
        <x:v>0</x:v>
      </x:c>
      <x:c r="E188" s="12" t="n">
        <x:v>0</x:v>
      </x:c>
      <x:c r="F188" s="12" t="n">
        <x:v>0</x:v>
      </x:c>
      <x:c r="G188" s="11" t="n">
        <x:v>0</x:v>
      </x:c>
      <x:c r="H188" s="7" t="str"/>
    </x:row>
    <x:row r="189" ht="19" customHeight="1">
      <x:c r="A189" s="7" t="str">
        <x:v>poclain replacement</x:v>
      </x:c>
      <x:c r="B189" s="8" t="n">
        <x:v>0</x:v>
      </x:c>
      <x:c r="C189" s="9" t="n">
        <x:v>0</x:v>
      </x:c>
      <x:c r="D189" s="10" t="n">
        <x:v>0</x:v>
      </x:c>
      <x:c r="E189" s="12" t="n">
        <x:v>0</x:v>
      </x:c>
      <x:c r="F189" s="12" t="n">
        <x:v>0</x:v>
      </x:c>
      <x:c r="G189" s="11" t="n">
        <x:v>0</x:v>
      </x:c>
      <x:c r="H189" s="7" t="str"/>
    </x:row>
    <x:row r="190" ht="19" customHeight="1">
      <x:c r="A190" s="7" t="str">
        <x:v>poclain parts</x:v>
      </x:c>
      <x:c r="B190" s="8" t="n">
        <x:v>40</x:v>
      </x:c>
      <x:c r="C190" s="9" t="n">
        <x:v>1.23</x:v>
      </x:c>
      <x:c r="D190" s="10" t="n">
        <x:v>0.92</x:v>
      </x:c>
      <x:c r="E190" s="12" t="n">
        <x:v>30</x:v>
      </x:c>
      <x:c r="F190" s="12" t="n">
        <x:v>42.5</x:v>
      </x:c>
      <x:c r="G190" s="11" t="n">
        <x:v>-0.29411764705882354</x:v>
      </x:c>
      <x:c r="H190" s="7" t="str">
        <x:v>Jul 2025:50 | Aug 2025:30 | Sep 2025:50 | Oct 2025:70 | Nov 2025:50 | Dec 2025:30 | Jan 2026:40 | Feb 2026:30 | Mar 2026:30 | Apr 2026:50 | May 2026:50 | Jun 2026:30</x:v>
      </x:c>
    </x:row>
    <x:row r="191" ht="19" customHeight="1">
      <x:c r="A191" s="7" t="str">
        <x:v>bucher hydraulic pump</x:v>
      </x:c>
      <x:c r="B191" s="8" t="n">
        <x:v>590</x:v>
      </x:c>
      <x:c r="C191" s="9" t="n">
        <x:v>0.72</x:v>
      </x:c>
      <x:c r="D191" s="10" t="n">
        <x:v>1</x:v>
      </x:c>
      <x:c r="E191" s="12" t="n">
        <x:v>590</x:v>
      </x:c>
      <x:c r="F191" s="12" t="n">
        <x:v>633.3333333333334</x:v>
      </x:c>
      <x:c r="G191" s="11" t="n">
        <x:v>-0.06842105263157901</x:v>
      </x:c>
      <x:c r="H191" s="7" t="str">
        <x:v>Jul 2025:590 | Aug 2025:590 | Sep 2025:720 | Oct 2025:720 | Nov 2025:590 | Dec 2025:590 | Jan 2026:720 | Feb 2026:590 | Mar 2026:590 | Apr 2026:720 | May 2026:590 | Jun 2026:590</x:v>
      </x:c>
    </x:row>
    <x:row r="192" ht="19" customHeight="1">
      <x:c r="A192" s="7" t="str">
        <x:v>bucher hydraulic motor</x:v>
      </x:c>
      <x:c r="B192" s="8" t="n">
        <x:v>30</x:v>
      </x:c>
      <x:c r="C192" s="9" t="n">
        <x:v>0.46</x:v>
      </x:c>
      <x:c r="D192" s="10" t="n">
        <x:v>1</x:v>
      </x:c>
      <x:c r="E192" s="12" t="n">
        <x:v>20</x:v>
      </x:c>
      <x:c r="F192" s="12" t="n">
        <x:v>24.166666666666668</x:v>
      </x:c>
      <x:c r="G192" s="11" t="n">
        <x:v>-0.17241379310344832</x:v>
      </x:c>
      <x:c r="H192" s="7" t="str">
        <x:v>Jul 2025:30 | Aug 2025:30 | Sep 2025:20 | Oct 2025:20 | Nov 2025:30 | Dec 2025:30 | Jan 2026:20 | Feb 2026:20 | Mar 2026:30 | Apr 2026:30 | May 2026:10 | Jun 2026:20</x:v>
      </x:c>
    </x:row>
    <x:row r="193" ht="19" customHeight="1">
      <x:c r="A193" s="7" t="str">
        <x:v>bucher hydraulic valve</x:v>
      </x:c>
      <x:c r="B193" s="8" t="n">
        <x:v>140</x:v>
      </x:c>
      <x:c r="C193" s="9" t="n">
        <x:v>1.16</x:v>
      </x:c>
      <x:c r="D193" s="10" t="n">
        <x:v>1</x:v>
      </x:c>
      <x:c r="E193" s="12" t="n">
        <x:v>110</x:v>
      </x:c>
      <x:c r="F193" s="12" t="n">
        <x:v>120</x:v>
      </x:c>
      <x:c r="G193" s="11" t="n">
        <x:v>-0.08333333333333333</x:v>
      </x:c>
      <x:c r="H193" s="7" t="str">
        <x:v>Jul 2025:110 | Aug 2025:140 | Sep 2025:140 | Oct 2025:110 | Nov 2025:110 | Dec 2025:110 | Jan 2026:110 | Feb 2026:110 | Mar 2026:140 | Apr 2026:140 | May 2026:110 | Jun 2026:110</x:v>
      </x:c>
    </x:row>
    <x:row r="194" ht="19" customHeight="1">
      <x:c r="A194" s="7" t="str">
        <x:v>bucher replacement</x:v>
      </x:c>
      <x:c r="B194" s="8" t="n">
        <x:v>0</x:v>
      </x:c>
      <x:c r="C194" s="9" t="n">
        <x:v>0</x:v>
      </x:c>
      <x:c r="D194" s="10" t="n">
        <x:v>0</x:v>
      </x:c>
      <x:c r="E194" s="12" t="n">
        <x:v>0</x:v>
      </x:c>
      <x:c r="F194" s="12" t="n">
        <x:v>0</x:v>
      </x:c>
      <x:c r="G194" s="11" t="n">
        <x:v>0</x:v>
      </x:c>
      <x:c r="H194" s="7" t="str"/>
    </x:row>
    <x:row r="195" ht="19" customHeight="1">
      <x:c r="A195" s="7" t="str">
        <x:v>bucher parts</x:v>
      </x:c>
      <x:c r="B195" s="8" t="n">
        <x:v>10</x:v>
      </x:c>
      <x:c r="C195" s="9" t="n">
        <x:v>0</x:v>
      </x:c>
      <x:c r="D195" s="10" t="n">
        <x:v>0.09</x:v>
      </x:c>
      <x:c r="E195" s="12" t="n">
        <x:v>10</x:v>
      </x:c>
      <x:c r="F195" s="12" t="n">
        <x:v>10</x:v>
      </x:c>
      <x:c r="G195" s="11" t="n">
        <x:v>0</x:v>
      </x:c>
      <x:c r="H195" s="7" t="str">
        <x:v>Jul 2025:10 | Aug 2025:10 | Sep 2025:10 | Oct 2025:10 | Nov 2025:10 | Dec 2025:10 | Jan 2026:10 | Feb 2026:10 | Mar 2026:10 | Apr 2026:10 | May 2026:10 | Jun 2026:10</x:v>
      </x:c>
    </x:row>
    <x:row r="196" ht="19" customHeight="1">
      <x:c r="A196" s="7" t="str">
        <x:v>casappa hydraulic pump</x:v>
      </x:c>
      <x:c r="B196" s="8" t="n">
        <x:v>260</x:v>
      </x:c>
      <x:c r="C196" s="9" t="n">
        <x:v>0.95</x:v>
      </x:c>
      <x:c r="D196" s="10" t="n">
        <x:v>1</x:v>
      </x:c>
      <x:c r="E196" s="12" t="n">
        <x:v>260</x:v>
      </x:c>
      <x:c r="F196" s="12" t="n">
        <x:v>273.3333333333333</x:v>
      </x:c>
      <x:c r="G196" s="11" t="n">
        <x:v>-0.04878048780487798</x:v>
      </x:c>
      <x:c r="H196" s="7" t="str">
        <x:v>Jul 2025:210 | Aug 2025:320 | Sep 2025:320 | Oct 2025:320 | Nov 2025:260 | Dec 2025:170 | Jan 2026:260 | Feb 2026:320 | Mar 2026:320 | Apr 2026:260 | May 2026:260 | Jun 2026:260</x:v>
      </x:c>
    </x:row>
    <x:row r="197" ht="19" customHeight="1">
      <x:c r="A197" s="7" t="str">
        <x:v>casappa hydraulic motor</x:v>
      </x:c>
      <x:c r="B197" s="8" t="n">
        <x:v>50</x:v>
      </x:c>
      <x:c r="C197" s="9" t="n">
        <x:v>1.16</x:v>
      </x:c>
      <x:c r="D197" s="10" t="n">
        <x:v>1</x:v>
      </x:c>
      <x:c r="E197" s="12" t="n">
        <x:v>40</x:v>
      </x:c>
      <x:c r="F197" s="12" t="n">
        <x:v>44.166666666666664</x:v>
      </x:c>
      <x:c r="G197" s="11" t="n">
        <x:v>-0.09433962264150939</x:v>
      </x:c>
      <x:c r="H197" s="7" t="str">
        <x:v>Jul 2025:50 | Aug 2025:30 | Sep 2025:40 | Oct 2025:40 | Nov 2025:40 | Dec 2025:40 | Jan 2026:70 | Feb 2026:50 | Mar 2026:50 | Apr 2026:50 | May 2026:30 | Jun 2026:40</x:v>
      </x:c>
    </x:row>
    <x:row r="198" ht="19" customHeight="1">
      <x:c r="A198" s="7" t="str">
        <x:v>casappa hydraulic valve</x:v>
      </x:c>
      <x:c r="B198" s="8" t="n">
        <x:v>0</x:v>
      </x:c>
      <x:c r="C198" s="9" t="n">
        <x:v>0</x:v>
      </x:c>
      <x:c r="D198" s="10" t="n">
        <x:v>0</x:v>
      </x:c>
      <x:c r="E198" s="12" t="n">
        <x:v>0</x:v>
      </x:c>
      <x:c r="F198" s="12" t="n">
        <x:v>0</x:v>
      </x:c>
      <x:c r="G198" s="11" t="n">
        <x:v>0</x:v>
      </x:c>
      <x:c r="H198" s="7" t="str"/>
    </x:row>
    <x:row r="199" ht="19" customHeight="1">
      <x:c r="A199" s="7" t="str">
        <x:v>casappa replacement</x:v>
      </x:c>
      <x:c r="B199" s="8" t="n">
        <x:v>0</x:v>
      </x:c>
      <x:c r="C199" s="9" t="n">
        <x:v>0</x:v>
      </x:c>
      <x:c r="D199" s="10" t="n">
        <x:v>0</x:v>
      </x:c>
      <x:c r="E199" s="12" t="n">
        <x:v>0</x:v>
      </x:c>
      <x:c r="F199" s="12" t="n">
        <x:v>0</x:v>
      </x:c>
      <x:c r="G199" s="11" t="n">
        <x:v>0</x:v>
      </x:c>
      <x:c r="H199" s="7" t="str"/>
    </x:row>
    <x:row r="200" ht="19" customHeight="1">
      <x:c r="A200" s="7" t="str">
        <x:v>casappa parts</x:v>
      </x:c>
      <x:c r="B200" s="8" t="n">
        <x:v>10</x:v>
      </x:c>
      <x:c r="C200" s="9" t="n">
        <x:v>0</x:v>
      </x:c>
      <x:c r="D200" s="10" t="n">
        <x:v>0.62</x:v>
      </x:c>
      <x:c r="E200" s="12" t="n">
        <x:v>10</x:v>
      </x:c>
      <x:c r="F200" s="12" t="n">
        <x:v>10.833333333333334</x:v>
      </x:c>
      <x:c r="G200" s="11" t="n">
        <x:v>-0.07692307692307697</x:v>
      </x:c>
      <x:c r="H200" s="7" t="str">
        <x:v>Jul 2025:10 | Aug 2025:10 | Sep 2025:10 | Oct 2025:20 | Nov 2025:10 | Dec 2025:10 | Jan 2026:10 | Feb 2026:10 | Mar 2026:10 | Apr 2026:10 | May 2026:10 | Jun 2026:10</x:v>
      </x:c>
    </x:row>
    <x:row r="201" ht="19" customHeight="1">
      <x:c r="A201" s="7" t="str">
        <x:v>hydac hydraulic pump</x:v>
      </x:c>
      <x:c r="B201" s="8" t="n">
        <x:v>30</x:v>
      </x:c>
      <x:c r="C201" s="9" t="n">
        <x:v>0.67</x:v>
      </x:c>
      <x:c r="D201" s="10" t="n">
        <x:v>0.73</x:v>
      </x:c>
      <x:c r="E201" s="12" t="n">
        <x:v>30</x:v>
      </x:c>
      <x:c r="F201" s="12" t="n">
        <x:v>29.166666666666668</x:v>
      </x:c>
      <x:c r="G201" s="11" t="n">
        <x:v>0.02857142857142853</x:v>
      </x:c>
      <x:c r="H201" s="7" t="str">
        <x:v>Jul 2025:30 | Aug 2025:30 | Sep 2025:20 | Oct 2025:30 | Nov 2025:40 | Dec 2025:30 | Jan 2026:40 | Feb 2026:20 | Mar 2026:20 | Apr 2026:30 | May 2026:30 | Jun 2026:30</x:v>
      </x:c>
    </x:row>
    <x:row r="202" ht="19" customHeight="1">
      <x:c r="A202" s="7" t="str">
        <x:v>hydac hydraulic motor</x:v>
      </x:c>
      <x:c r="B202" s="8" t="n">
        <x:v>10</x:v>
      </x:c>
      <x:c r="C202" s="9" t="n">
        <x:v>0</x:v>
      </x:c>
      <x:c r="D202" s="10" t="n">
        <x:v>1</x:v>
      </x:c>
      <x:c r="E202" s="12" t="n">
        <x:v>10</x:v>
      </x:c>
      <x:c r="F202" s="12" t="n">
        <x:v>9.166666666666666</x:v>
      </x:c>
      <x:c r="G202" s="11" t="n">
        <x:v>0.09090909090909098</x:v>
      </x:c>
      <x:c r="H202" s="7" t="str">
        <x:v>Jul 2025:10 | Aug 2025:0 | Sep 2025:10 | Oct 2025:10 | Nov 2025:10 | Dec 2025:10 | Jan 2026:10 | Feb 2026:10 | Mar 2026:10 | Apr 2026:10 | May 2026:10 | Jun 2026:10</x:v>
      </x:c>
    </x:row>
    <x:row r="203" ht="19" customHeight="1">
      <x:c r="A203" s="7" t="str">
        <x:v>hydac hydraulic valve</x:v>
      </x:c>
      <x:c r="B203" s="8" t="n">
        <x:v>0</x:v>
      </x:c>
      <x:c r="C203" s="9" t="n">
        <x:v>0</x:v>
      </x:c>
      <x:c r="D203" s="10" t="n">
        <x:v>0</x:v>
      </x:c>
      <x:c r="E203" s="12" t="n">
        <x:v>0</x:v>
      </x:c>
      <x:c r="F203" s="12" t="n">
        <x:v>0</x:v>
      </x:c>
      <x:c r="G203" s="11" t="n">
        <x:v>0</x:v>
      </x:c>
      <x:c r="H203" s="7" t="str"/>
    </x:row>
    <x:row r="204" ht="19" customHeight="1">
      <x:c r="A204" s="7" t="str">
        <x:v>hydac replacement</x:v>
      </x:c>
      <x:c r="B204" s="8" t="n">
        <x:v>0</x:v>
      </x:c>
      <x:c r="C204" s="9" t="n">
        <x:v>0</x:v>
      </x:c>
      <x:c r="D204" s="10" t="n">
        <x:v>0</x:v>
      </x:c>
      <x:c r="E204" s="12" t="n">
        <x:v>0</x:v>
      </x:c>
      <x:c r="F204" s="12" t="n">
        <x:v>0</x:v>
      </x:c>
      <x:c r="G204" s="11" t="n">
        <x:v>0</x:v>
      </x:c>
      <x:c r="H204" s="7" t="str"/>
    </x:row>
    <x:row r="205" ht="19" customHeight="1">
      <x:c r="A205" s="7" t="str">
        <x:v>hydac parts</x:v>
      </x:c>
      <x:c r="B205" s="8" t="n">
        <x:v>20</x:v>
      </x:c>
      <x:c r="C205" s="9" t="n">
        <x:v>1.02</x:v>
      </x:c>
      <x:c r="D205" s="10" t="n">
        <x:v>0.72</x:v>
      </x:c>
      <x:c r="E205" s="12" t="n">
        <x:v>10</x:v>
      </x:c>
      <x:c r="F205" s="12" t="n">
        <x:v>20</x:v>
      </x:c>
      <x:c r="G205" s="11" t="n">
        <x:v>-0.5</x:v>
      </x:c>
      <x:c r="H205" s="7" t="str">
        <x:v>Jul 2025:30 | Aug 2025:30 | Sep 2025:30 | Oct 2025:20 | Nov 2025:20 | Dec 2025:10 | Jan 2026:20 | Feb 2026:10 | Mar 2026:20 | Apr 2026:20 | May 2026:20 | Jun 2026:10</x:v>
      </x:c>
    </x:row>
    <x:row r="206" ht="19" customHeight="1">
      <x:c r="A206" s="7" t="str">
        <x:v>caterpillar hydraulic pump</x:v>
      </x:c>
      <x:c r="B206" s="8" t="n">
        <x:v>110</x:v>
      </x:c>
      <x:c r="C206" s="9" t="n">
        <x:v>1.07</x:v>
      </x:c>
      <x:c r="D206" s="10" t="n">
        <x:v>0.92</x:v>
      </x:c>
      <x:c r="E206" s="12" t="n">
        <x:v>50</x:v>
      </x:c>
      <x:c r="F206" s="12" t="n">
        <x:v>115</x:v>
      </x:c>
      <x:c r="G206" s="11" t="n">
        <x:v>-0.5652173913043478</x:v>
      </x:c>
      <x:c r="H206" s="7" t="str">
        <x:v>Jul 2025:140 | Aug 2025:170 | Sep 2025:170 | Oct 2025:140 | Nov 2025:70 | Dec 2025:50 | Jan 2026:90 | Feb 2026:70 | Mar 2026:210 | Apr 2026:110 | May 2026:110 | Jun 2026:50</x:v>
      </x:c>
    </x:row>
    <x:row r="207" ht="19" customHeight="1">
      <x:c r="A207" s="7" t="str">
        <x:v>caterpillar hydraulic motor</x:v>
      </x:c>
      <x:c r="B207" s="8" t="n">
        <x:v>20</x:v>
      </x:c>
      <x:c r="C207" s="9" t="n">
        <x:v>0</x:v>
      </x:c>
      <x:c r="D207" s="10" t="n">
        <x:v>0.45</x:v>
      </x:c>
      <x:c r="E207" s="12" t="n">
        <x:v>30</x:v>
      </x:c>
      <x:c r="F207" s="12" t="n">
        <x:v>20.833333333333332</x:v>
      </x:c>
      <x:c r="G207" s="11" t="n">
        <x:v>0.44000000000000006</x:v>
      </x:c>
      <x:c r="H207" s="7" t="str">
        <x:v>Jul 2025:30 | Aug 2025:20 | Sep 2025:10 | Oct 2025:10 | Nov 2025:10 | Dec 2025:10 | Jan 2026:20 | Feb 2026:20 | Mar 2026:40 | Apr 2026:30 | May 2026:20 | Jun 2026:30</x:v>
      </x:c>
    </x:row>
    <x:row r="208" ht="19" customHeight="1">
      <x:c r="A208" s="7" t="str">
        <x:v>caterpillar hydraulic valve</x:v>
      </x:c>
      <x:c r="B208" s="8" t="n">
        <x:v>10</x:v>
      </x:c>
      <x:c r="C208" s="9" t="n">
        <x:v>0</x:v>
      </x:c>
      <x:c r="D208" s="10" t="n">
        <x:v>0.16</x:v>
      </x:c>
      <x:c r="E208" s="12" t="n">
        <x:v>10</x:v>
      </x:c>
      <x:c r="F208" s="12" t="n">
        <x:v>10.833333333333334</x:v>
      </x:c>
      <x:c r="G208" s="11" t="n">
        <x:v>-0.07692307692307697</x:v>
      </x:c>
      <x:c r="H208" s="7" t="str">
        <x:v>Jul 2025:10 | Aug 2025:10 | Sep 2025:10 | Oct 2025:10 | Nov 2025:10 | Dec 2025:10 | Jan 2026:10 | Feb 2026:10 | Mar 2026:20 | Apr 2026:10 | May 2026:10 | Jun 2026:10</x:v>
      </x:c>
    </x:row>
    <x:row r="209" ht="19" customHeight="1">
      <x:c r="A209" s="7" t="str">
        <x:v>caterpillar replacement</x:v>
      </x:c>
      <x:c r="B209" s="8" t="n">
        <x:v>50</x:v>
      </x:c>
      <x:c r="C209" s="9" t="n">
        <x:v>0</x:v>
      </x:c>
      <x:c r="D209" s="10" t="n">
        <x:v>0.19</x:v>
      </x:c>
      <x:c r="E209" s="12" t="n">
        <x:v>10</x:v>
      </x:c>
      <x:c r="F209" s="12" t="n">
        <x:v>51.666666666666664</x:v>
      </x:c>
      <x:c r="G209" s="11" t="n">
        <x:v>-0.8064516129032258</x:v>
      </x:c>
      <x:c r="H209" s="7" t="str">
        <x:v>Jul 2025:90 | Aug 2025:170 | Sep 2025:170 | Oct 2025:50 | Nov 2025:10 | Dec 2025:20 | Jan 2026:20 | Feb 2026:10 | Mar 2026:50 | Apr 2026:10 | May 2026:10 | Jun 2026:10</x:v>
      </x:c>
    </x:row>
    <x:row r="210" ht="19" customHeight="1">
      <x:c r="A210" s="7" t="str">
        <x:v>caterpillar parts</x:v>
      </x:c>
      <x:c r="B210" s="8" t="n">
        <x:v>18100</x:v>
      </x:c>
      <x:c r="C210" s="9" t="n">
        <x:v>2.97</x:v>
      </x:c>
      <x:c r="D210" s="10" t="n">
        <x:v>0.4</x:v>
      </x:c>
      <x:c r="E210" s="12" t="n">
        <x:v>18100</x:v>
      </x:c>
      <x:c r="F210" s="12" t="n">
        <x:v>19191.666666666668</x:v>
      </x:c>
      <x:c r="G210" s="11" t="n">
        <x:v>-0.05688232739904479</x:v>
      </x:c>
      <x:c r="H210" s="7" t="str">
        <x:v>Jul 2025:22200 | Aug 2025:18100 | Sep 2025:18100 | Oct 2025:22200 | Nov 2025:14800 | Dec 2025:18100 | Jan 2026:18100 | Feb 2026:18100 | Mar 2026:22200 | Apr 2026:22200 | May 2026:18100 | Jun 2026:18100</x:v>
      </x:c>
    </x:row>
    <x:row r="211" ht="19" customHeight="1">
      <x:c r="A211" s="7" t="str">
        <x:v>a10vo</x:v>
      </x:c>
      <x:c r="B211" s="8" t="n">
        <x:v>10</x:v>
      </x:c>
      <x:c r="C211" s="9" t="n">
        <x:v>0</x:v>
      </x:c>
      <x:c r="D211" s="10" t="n">
        <x:v>0.26</x:v>
      </x:c>
      <x:c r="E211" s="12" t="n">
        <x:v>10</x:v>
      </x:c>
      <x:c r="F211" s="12" t="n">
        <x:v>10.833333333333334</x:v>
      </x:c>
      <x:c r="G211" s="11" t="n">
        <x:v>-0.07692307692307697</x:v>
      </x:c>
      <x:c r="H211" s="7" t="str">
        <x:v>Jul 2025:10 | Aug 2025:10 | Sep 2025:10 | Oct 2025:10 | Nov 2025:10 | Dec 2025:10 | Jan 2026:20 | Feb 2026:10 | Mar 2026:10 | Apr 2026:10 | May 2026:10 | Jun 2026:10</x:v>
      </x:c>
    </x:row>
    <x:row r="212" ht="19" customHeight="1">
      <x:c r="A212" s="7" t="str">
        <x:v>a10vo replacement</x:v>
      </x:c>
      <x:c r="B212" s="8" t="n">
        <x:v>0</x:v>
      </x:c>
      <x:c r="C212" s="9" t="n">
        <x:v>0</x:v>
      </x:c>
      <x:c r="D212" s="10" t="n">
        <x:v>0</x:v>
      </x:c>
      <x:c r="E212" s="12" t="n">
        <x:v>0</x:v>
      </x:c>
      <x:c r="F212" s="12" t="n">
        <x:v>0</x:v>
      </x:c>
      <x:c r="G212" s="11" t="n">
        <x:v>0</x:v>
      </x:c>
      <x:c r="H212" s="7" t="str"/>
    </x:row>
    <x:row r="213" ht="19" customHeight="1">
      <x:c r="A213" s="7" t="str">
        <x:v>a10vo supplier</x:v>
      </x:c>
      <x:c r="B213" s="8" t="n">
        <x:v>0</x:v>
      </x:c>
      <x:c r="C213" s="9" t="n">
        <x:v>0</x:v>
      </x:c>
      <x:c r="D213" s="10" t="n">
        <x:v>0</x:v>
      </x:c>
      <x:c r="E213" s="12" t="n">
        <x:v>0</x:v>
      </x:c>
      <x:c r="F213" s="12" t="n">
        <x:v>0</x:v>
      </x:c>
      <x:c r="G213" s="11" t="n">
        <x:v>0</x:v>
      </x:c>
      <x:c r="H213" s="7" t="str"/>
    </x:row>
    <x:row r="214" ht="19" customHeight="1">
      <x:c r="A214" s="7" t="str">
        <x:v>a10vo parts</x:v>
      </x:c>
      <x:c r="B214" s="8" t="n">
        <x:v>0</x:v>
      </x:c>
      <x:c r="C214" s="9" t="n">
        <x:v>0</x:v>
      </x:c>
      <x:c r="D214" s="10" t="n">
        <x:v>0</x:v>
      </x:c>
      <x:c r="E214" s="12" t="n">
        <x:v>0</x:v>
      </x:c>
      <x:c r="F214" s="12" t="n">
        <x:v>0</x:v>
      </x:c>
      <x:c r="G214" s="11" t="n">
        <x:v>0</x:v>
      </x:c>
      <x:c r="H214" s="7" t="str"/>
    </x:row>
    <x:row r="215" ht="19" customHeight="1">
      <x:c r="A215" s="7" t="str">
        <x:v>a10vo seal kit</x:v>
      </x:c>
      <x:c r="B215" s="8" t="n">
        <x:v>0</x:v>
      </x:c>
      <x:c r="C215" s="9" t="n">
        <x:v>0</x:v>
      </x:c>
      <x:c r="D215" s="10" t="n">
        <x:v>0</x:v>
      </x:c>
      <x:c r="E215" s="12" t="n">
        <x:v>0</x:v>
      </x:c>
      <x:c r="F215" s="12" t="n">
        <x:v>0</x:v>
      </x:c>
      <x:c r="G215" s="11" t="n">
        <x:v>0</x:v>
      </x:c>
      <x:c r="H215" s="7" t="str"/>
    </x:row>
    <x:row r="216" ht="19" customHeight="1">
      <x:c r="A216" s="7" t="str">
        <x:v>a10vo equivalent</x:v>
      </x:c>
      <x:c r="B216" s="8" t="n">
        <x:v>0</x:v>
      </x:c>
      <x:c r="C216" s="9" t="n">
        <x:v>0</x:v>
      </x:c>
      <x:c r="D216" s="10" t="n">
        <x:v>0</x:v>
      </x:c>
      <x:c r="E216" s="12" t="n">
        <x:v>0</x:v>
      </x:c>
      <x:c r="F216" s="12" t="n">
        <x:v>0</x:v>
      </x:c>
      <x:c r="G216" s="11" t="n">
        <x:v>0</x:v>
      </x:c>
      <x:c r="H216" s="7" t="str"/>
    </x:row>
    <x:row r="217" ht="19" customHeight="1">
      <x:c r="A217" s="7" t="str">
        <x:v>a10vso</x:v>
      </x:c>
      <x:c r="B217" s="8" t="n">
        <x:v>30</x:v>
      </x:c>
      <x:c r="C217" s="9" t="n">
        <x:v>0</x:v>
      </x:c>
      <x:c r="D217" s="10" t="n">
        <x:v>0.68</x:v>
      </x:c>
      <x:c r="E217" s="12" t="n">
        <x:v>20</x:v>
      </x:c>
      <x:c r="F217" s="12" t="n">
        <x:v>31.666666666666668</x:v>
      </x:c>
      <x:c r="G217" s="11" t="n">
        <x:v>-0.368421052631579</x:v>
      </x:c>
      <x:c r="H217" s="7" t="str">
        <x:v>Jul 2025:30 | Aug 2025:40 | Sep 2025:30 | Oct 2025:40 | Nov 2025:30 | Dec 2025:20 | Jan 2026:40 | Feb 2026:20 | Mar 2026:30 | Apr 2026:40 | May 2026:40 | Jun 2026:20</x:v>
      </x:c>
    </x:row>
    <x:row r="218" ht="19" customHeight="1">
      <x:c r="A218" s="7" t="str">
        <x:v>a10vso replacement</x:v>
      </x:c>
      <x:c r="B218" s="8" t="n">
        <x:v>0</x:v>
      </x:c>
      <x:c r="C218" s="9" t="n">
        <x:v>0</x:v>
      </x:c>
      <x:c r="D218" s="10" t="n">
        <x:v>0</x:v>
      </x:c>
      <x:c r="E218" s="12" t="n">
        <x:v>0</x:v>
      </x:c>
      <x:c r="F218" s="12" t="n">
        <x:v>0</x:v>
      </x:c>
      <x:c r="G218" s="11" t="n">
        <x:v>0</x:v>
      </x:c>
      <x:c r="H218" s="7" t="str"/>
    </x:row>
    <x:row r="219" ht="19" customHeight="1">
      <x:c r="A219" s="7" t="str">
        <x:v>a10vso supplier</x:v>
      </x:c>
      <x:c r="B219" s="8" t="n">
        <x:v>0</x:v>
      </x:c>
      <x:c r="C219" s="9" t="n">
        <x:v>0</x:v>
      </x:c>
      <x:c r="D219" s="10" t="n">
        <x:v>0</x:v>
      </x:c>
      <x:c r="E219" s="12" t="n">
        <x:v>0</x:v>
      </x:c>
      <x:c r="F219" s="12" t="n">
        <x:v>0</x:v>
      </x:c>
      <x:c r="G219" s="11" t="n">
        <x:v>0</x:v>
      </x:c>
      <x:c r="H219" s="7" t="str"/>
    </x:row>
    <x:row r="220" ht="19" customHeight="1">
      <x:c r="A220" s="7" t="str">
        <x:v>a10vso parts</x:v>
      </x:c>
      <x:c r="B220" s="8" t="n">
        <x:v>0</x:v>
      </x:c>
      <x:c r="C220" s="9" t="n">
        <x:v>0</x:v>
      </x:c>
      <x:c r="D220" s="10" t="n">
        <x:v>0</x:v>
      </x:c>
      <x:c r="E220" s="12" t="n">
        <x:v>0</x:v>
      </x:c>
      <x:c r="F220" s="12" t="n">
        <x:v>0</x:v>
      </x:c>
      <x:c r="G220" s="11" t="n">
        <x:v>0</x:v>
      </x:c>
      <x:c r="H220" s="7" t="str"/>
    </x:row>
    <x:row r="221" ht="19" customHeight="1">
      <x:c r="A221" s="7" t="str">
        <x:v>a10vso seal kit</x:v>
      </x:c>
      <x:c r="B221" s="8" t="n">
        <x:v>0</x:v>
      </x:c>
      <x:c r="C221" s="9" t="n">
        <x:v>0</x:v>
      </x:c>
      <x:c r="D221" s="10" t="n">
        <x:v>0</x:v>
      </x:c>
      <x:c r="E221" s="12" t="n">
        <x:v>0</x:v>
      </x:c>
      <x:c r="F221" s="12" t="n">
        <x:v>0</x:v>
      </x:c>
      <x:c r="G221" s="11" t="n">
        <x:v>0</x:v>
      </x:c>
      <x:c r="H221" s="7" t="str"/>
    </x:row>
    <x:row r="222" ht="19" customHeight="1">
      <x:c r="A222" s="7" t="str">
        <x:v>a10vso equivalent</x:v>
      </x:c>
      <x:c r="B222" s="8" t="n">
        <x:v>0</x:v>
      </x:c>
      <x:c r="C222" s="9" t="n">
        <x:v>0</x:v>
      </x:c>
      <x:c r="D222" s="10" t="n">
        <x:v>0</x:v>
      </x:c>
      <x:c r="E222" s="12" t="n">
        <x:v>0</x:v>
      </x:c>
      <x:c r="F222" s="12" t="n">
        <x:v>0</x:v>
      </x:c>
      <x:c r="G222" s="11" t="n">
        <x:v>0</x:v>
      </x:c>
      <x:c r="H222" s="7" t="str"/>
    </x:row>
    <x:row r="223" ht="19" customHeight="1">
      <x:c r="A223" s="7" t="str">
        <x:v>a4vso</x:v>
      </x:c>
      <x:c r="B223" s="8" t="n">
        <x:v>10</x:v>
      </x:c>
      <x:c r="C223" s="9" t="n">
        <x:v>0</x:v>
      </x:c>
      <x:c r="D223" s="10" t="n">
        <x:v>0.45</x:v>
      </x:c>
      <x:c r="E223" s="12" t="n">
        <x:v>10</x:v>
      </x:c>
      <x:c r="F223" s="12" t="n">
        <x:v>15</x:v>
      </x:c>
      <x:c r="G223" s="11" t="n">
        <x:v>-0.3333333333333333</x:v>
      </x:c>
      <x:c r="H223" s="7" t="str">
        <x:v>Jul 2025:20 | Aug 2025:10 | Sep 2025:10 | Oct 2025:10 | Nov 2025:20 | Dec 2025:10 | Jan 2026:30 | Feb 2026:20 | Mar 2026:10 | Apr 2026:10 | May 2026:20 | Jun 2026:10</x:v>
      </x:c>
    </x:row>
    <x:row r="224" ht="19" customHeight="1">
      <x:c r="A224" s="7" t="str">
        <x:v>a4vso replacement</x:v>
      </x:c>
      <x:c r="B224" s="8" t="n">
        <x:v>0</x:v>
      </x:c>
      <x:c r="C224" s="9" t="n">
        <x:v>0</x:v>
      </x:c>
      <x:c r="D224" s="10" t="n">
        <x:v>0</x:v>
      </x:c>
      <x:c r="E224" s="12" t="n">
        <x:v>0</x:v>
      </x:c>
      <x:c r="F224" s="12" t="n">
        <x:v>0</x:v>
      </x:c>
      <x:c r="G224" s="11" t="n">
        <x:v>0</x:v>
      </x:c>
      <x:c r="H224" s="7" t="str"/>
    </x:row>
    <x:row r="225" ht="19" customHeight="1">
      <x:c r="A225" s="7" t="str">
        <x:v>a4vso supplier</x:v>
      </x:c>
      <x:c r="B225" s="8" t="n">
        <x:v>0</x:v>
      </x:c>
      <x:c r="C225" s="9" t="n">
        <x:v>0</x:v>
      </x:c>
      <x:c r="D225" s="10" t="n">
        <x:v>0</x:v>
      </x:c>
      <x:c r="E225" s="12" t="n">
        <x:v>0</x:v>
      </x:c>
      <x:c r="F225" s="12" t="n">
        <x:v>0</x:v>
      </x:c>
      <x:c r="G225" s="11" t="n">
        <x:v>0</x:v>
      </x:c>
      <x:c r="H225" s="7" t="str"/>
    </x:row>
    <x:row r="226" ht="19" customHeight="1">
      <x:c r="A226" s="7" t="str">
        <x:v>a4vso parts</x:v>
      </x:c>
      <x:c r="B226" s="8" t="n">
        <x:v>0</x:v>
      </x:c>
      <x:c r="C226" s="9" t="n">
        <x:v>0</x:v>
      </x:c>
      <x:c r="D226" s="10" t="n">
        <x:v>0</x:v>
      </x:c>
      <x:c r="E226" s="12" t="n">
        <x:v>0</x:v>
      </x:c>
      <x:c r="F226" s="12" t="n">
        <x:v>0</x:v>
      </x:c>
      <x:c r="G226" s="11" t="n">
        <x:v>0</x:v>
      </x:c>
      <x:c r="H226" s="7" t="str"/>
    </x:row>
    <x:row r="227" ht="19" customHeight="1">
      <x:c r="A227" s="7" t="str">
        <x:v>a4vso seal kit</x:v>
      </x:c>
      <x:c r="B227" s="8" t="n">
        <x:v>0</x:v>
      </x:c>
      <x:c r="C227" s="9" t="n">
        <x:v>0</x:v>
      </x:c>
      <x:c r="D227" s="10" t="n">
        <x:v>0</x:v>
      </x:c>
      <x:c r="E227" s="12" t="n">
        <x:v>0</x:v>
      </x:c>
      <x:c r="F227" s="12" t="n">
        <x:v>0</x:v>
      </x:c>
      <x:c r="G227" s="11" t="n">
        <x:v>0</x:v>
      </x:c>
      <x:c r="H227" s="7" t="str"/>
    </x:row>
    <x:row r="228" ht="19" customHeight="1">
      <x:c r="A228" s="7" t="str">
        <x:v>a4vso equivalent</x:v>
      </x:c>
      <x:c r="B228" s="8" t="n">
        <x:v>0</x:v>
      </x:c>
      <x:c r="C228" s="9" t="n">
        <x:v>0</x:v>
      </x:c>
      <x:c r="D228" s="10" t="n">
        <x:v>0</x:v>
      </x:c>
      <x:c r="E228" s="12" t="n">
        <x:v>0</x:v>
      </x:c>
      <x:c r="F228" s="12" t="n">
        <x:v>0</x:v>
      </x:c>
      <x:c r="G228" s="11" t="n">
        <x:v>0</x:v>
      </x:c>
      <x:c r="H228" s="7" t="str"/>
    </x:row>
    <x:row r="229" ht="19" customHeight="1">
      <x:c r="A229" s="7" t="str">
        <x:v>aa10vo</x:v>
      </x:c>
      <x:c r="B229" s="8" t="n">
        <x:v>0</x:v>
      </x:c>
      <x:c r="C229" s="9" t="n">
        <x:v>0</x:v>
      </x:c>
      <x:c r="D229" s="10" t="n">
        <x:v>0</x:v>
      </x:c>
      <x:c r="E229" s="12" t="n">
        <x:v>0</x:v>
      </x:c>
      <x:c r="F229" s="12" t="n">
        <x:v>0</x:v>
      </x:c>
      <x:c r="G229" s="11" t="n">
        <x:v>0</x:v>
      </x:c>
      <x:c r="H229" s="7" t="str"/>
    </x:row>
    <x:row r="230" ht="19" customHeight="1">
      <x:c r="A230" s="7" t="str">
        <x:v>aa10vo replacement</x:v>
      </x:c>
      <x:c r="B230" s="8" t="n">
        <x:v>0</x:v>
      </x:c>
      <x:c r="C230" s="9" t="n">
        <x:v>0</x:v>
      </x:c>
      <x:c r="D230" s="10" t="n">
        <x:v>0</x:v>
      </x:c>
      <x:c r="E230" s="12" t="n">
        <x:v>0</x:v>
      </x:c>
      <x:c r="F230" s="12" t="n">
        <x:v>0</x:v>
      </x:c>
      <x:c r="G230" s="11" t="n">
        <x:v>0</x:v>
      </x:c>
      <x:c r="H230" s="7" t="str"/>
    </x:row>
    <x:row r="231" ht="19" customHeight="1">
      <x:c r="A231" s="7" t="str">
        <x:v>aa10vo supplier</x:v>
      </x:c>
      <x:c r="B231" s="8" t="n">
        <x:v>0</x:v>
      </x:c>
      <x:c r="C231" s="9" t="n">
        <x:v>0</x:v>
      </x:c>
      <x:c r="D231" s="10" t="n">
        <x:v>0</x:v>
      </x:c>
      <x:c r="E231" s="12" t="n">
        <x:v>0</x:v>
      </x:c>
      <x:c r="F231" s="12" t="n">
        <x:v>0</x:v>
      </x:c>
      <x:c r="G231" s="11" t="n">
        <x:v>0</x:v>
      </x:c>
      <x:c r="H231" s="7" t="str"/>
    </x:row>
    <x:row r="232" ht="19" customHeight="1">
      <x:c r="A232" s="7" t="str">
        <x:v>aa10vo parts</x:v>
      </x:c>
      <x:c r="B232" s="8" t="n">
        <x:v>0</x:v>
      </x:c>
      <x:c r="C232" s="9" t="n">
        <x:v>0</x:v>
      </x:c>
      <x:c r="D232" s="10" t="n">
        <x:v>0</x:v>
      </x:c>
      <x:c r="E232" s="12" t="n">
        <x:v>0</x:v>
      </x:c>
      <x:c r="F232" s="12" t="n">
        <x:v>0</x:v>
      </x:c>
      <x:c r="G232" s="11" t="n">
        <x:v>0</x:v>
      </x:c>
      <x:c r="H232" s="7" t="str"/>
    </x:row>
    <x:row r="233" ht="19" customHeight="1">
      <x:c r="A233" s="7" t="str">
        <x:v>aa10vo seal kit</x:v>
      </x:c>
      <x:c r="B233" s="8" t="n">
        <x:v>0</x:v>
      </x:c>
      <x:c r="C233" s="9" t="n">
        <x:v>0</x:v>
      </x:c>
      <x:c r="D233" s="10" t="n">
        <x:v>0</x:v>
      </x:c>
      <x:c r="E233" s="12" t="n">
        <x:v>0</x:v>
      </x:c>
      <x:c r="F233" s="12" t="n">
        <x:v>0</x:v>
      </x:c>
      <x:c r="G233" s="11" t="n">
        <x:v>0</x:v>
      </x:c>
      <x:c r="H233" s="7" t="str"/>
    </x:row>
    <x:row r="234" ht="19" customHeight="1">
      <x:c r="A234" s="7" t="str">
        <x:v>aa10vo equivalent</x:v>
      </x:c>
      <x:c r="B234" s="8" t="n">
        <x:v>0</x:v>
      </x:c>
      <x:c r="C234" s="9" t="n">
        <x:v>0</x:v>
      </x:c>
      <x:c r="D234" s="10" t="n">
        <x:v>0</x:v>
      </x:c>
      <x:c r="E234" s="12" t="n">
        <x:v>0</x:v>
      </x:c>
      <x:c r="F234" s="12" t="n">
        <x:v>0</x:v>
      </x:c>
      <x:c r="G234" s="11" t="n">
        <x:v>0</x:v>
      </x:c>
      <x:c r="H234" s="7" t="str"/>
    </x:row>
    <x:row r="235" ht="19" customHeight="1">
      <x:c r="A235" s="7" t="str">
        <x:v>aa10vso</x:v>
      </x:c>
      <x:c r="B235" s="8" t="n">
        <x:v>10</x:v>
      </x:c>
      <x:c r="C235" s="9" t="n">
        <x:v>0</x:v>
      </x:c>
      <x:c r="D235" s="10" t="n">
        <x:v>0.34</x:v>
      </x:c>
      <x:c r="E235" s="12" t="n">
        <x:v>10</x:v>
      </x:c>
      <x:c r="F235" s="12" t="n">
        <x:v>10.833333333333334</x:v>
      </x:c>
      <x:c r="G235" s="11" t="n">
        <x:v>-0.07692307692307697</x:v>
      </x:c>
      <x:c r="H235" s="7" t="str">
        <x:v>Jul 2025:10 | Aug 2025:20 | Sep 2025:10 | Oct 2025:10 | Nov 2025:10 | Dec 2025:10 | Jan 2026:10 | Feb 2026:10 | Mar 2026:10 | Apr 2026:10 | May 2026:10 | Jun 2026:10</x:v>
      </x:c>
    </x:row>
    <x:row r="236" ht="19" customHeight="1">
      <x:c r="A236" s="7" t="str">
        <x:v>aa10vso replacement</x:v>
      </x:c>
      <x:c r="B236" s="8" t="n">
        <x:v>0</x:v>
      </x:c>
      <x:c r="C236" s="9" t="n">
        <x:v>0</x:v>
      </x:c>
      <x:c r="D236" s="10" t="n">
        <x:v>0</x:v>
      </x:c>
      <x:c r="E236" s="12" t="n">
        <x:v>0</x:v>
      </x:c>
      <x:c r="F236" s="12" t="n">
        <x:v>0</x:v>
      </x:c>
      <x:c r="G236" s="11" t="n">
        <x:v>0</x:v>
      </x:c>
      <x:c r="H236" s="7" t="str"/>
    </x:row>
    <x:row r="237" ht="19" customHeight="1">
      <x:c r="A237" s="7" t="str">
        <x:v>aa10vso supplier</x:v>
      </x:c>
      <x:c r="B237" s="8" t="n">
        <x:v>0</x:v>
      </x:c>
      <x:c r="C237" s="9" t="n">
        <x:v>0</x:v>
      </x:c>
      <x:c r="D237" s="10" t="n">
        <x:v>0</x:v>
      </x:c>
      <x:c r="E237" s="12" t="n">
        <x:v>0</x:v>
      </x:c>
      <x:c r="F237" s="12" t="n">
        <x:v>0</x:v>
      </x:c>
      <x:c r="G237" s="11" t="n">
        <x:v>0</x:v>
      </x:c>
      <x:c r="H237" s="7" t="str"/>
    </x:row>
    <x:row r="238" ht="19" customHeight="1">
      <x:c r="A238" s="7" t="str">
        <x:v>aa10vso parts</x:v>
      </x:c>
      <x:c r="B238" s="8" t="n">
        <x:v>0</x:v>
      </x:c>
      <x:c r="C238" s="9" t="n">
        <x:v>0</x:v>
      </x:c>
      <x:c r="D238" s="10" t="n">
        <x:v>0</x:v>
      </x:c>
      <x:c r="E238" s="12" t="n">
        <x:v>0</x:v>
      </x:c>
      <x:c r="F238" s="12" t="n">
        <x:v>0</x:v>
      </x:c>
      <x:c r="G238" s="11" t="n">
        <x:v>0</x:v>
      </x:c>
      <x:c r="H238" s="7" t="str"/>
    </x:row>
    <x:row r="239" ht="19" customHeight="1">
      <x:c r="A239" s="7" t="str">
        <x:v>aa10vso seal kit</x:v>
      </x:c>
      <x:c r="B239" s="8" t="n">
        <x:v>0</x:v>
      </x:c>
      <x:c r="C239" s="9" t="n">
        <x:v>0</x:v>
      </x:c>
      <x:c r="D239" s="10" t="n">
        <x:v>0</x:v>
      </x:c>
      <x:c r="E239" s="12" t="n">
        <x:v>0</x:v>
      </x:c>
      <x:c r="F239" s="12" t="n">
        <x:v>0</x:v>
      </x:c>
      <x:c r="G239" s="11" t="n">
        <x:v>0</x:v>
      </x:c>
      <x:c r="H239" s="7" t="str"/>
    </x:row>
    <x:row r="240" ht="19" customHeight="1">
      <x:c r="A240" s="7" t="str">
        <x:v>aa10vso equivalent</x:v>
      </x:c>
      <x:c r="B240" s="8" t="n">
        <x:v>0</x:v>
      </x:c>
      <x:c r="C240" s="9" t="n">
        <x:v>0</x:v>
      </x:c>
      <x:c r="D240" s="10" t="n">
        <x:v>0</x:v>
      </x:c>
      <x:c r="E240" s="12" t="n">
        <x:v>0</x:v>
      </x:c>
      <x:c r="F240" s="12" t="n">
        <x:v>0</x:v>
      </x:c>
      <x:c r="G240" s="11" t="n">
        <x:v>0</x:v>
      </x:c>
      <x:c r="H240" s="7" t="str"/>
    </x:row>
    <x:row r="241" ht="19" customHeight="1">
      <x:c r="A241" s="7" t="str">
        <x:v>a4vg</x:v>
      </x:c>
      <x:c r="B241" s="8" t="n">
        <x:v>10</x:v>
      </x:c>
      <x:c r="C241" s="9" t="n">
        <x:v>0</x:v>
      </x:c>
      <x:c r="D241" s="10" t="n">
        <x:v>0.05</x:v>
      </x:c>
      <x:c r="E241" s="12" t="n">
        <x:v>10</x:v>
      </x:c>
      <x:c r="F241" s="12" t="n">
        <x:v>13.333333333333334</x:v>
      </x:c>
      <x:c r="G241" s="11" t="n">
        <x:v>-0.25000000000000006</x:v>
      </x:c>
      <x:c r="H241" s="7" t="str">
        <x:v>Jul 2025:10 | Aug 2025:10 | Sep 2025:10 | Oct 2025:10 | Nov 2025:10 | Dec 2025:10 | Jan 2026:40 | Feb 2026:20 | Mar 2026:10 | Apr 2026:10 | May 2026:10 | Jun 2026:10</x:v>
      </x:c>
    </x:row>
    <x:row r="242" ht="19" customHeight="1">
      <x:c r="A242" s="7" t="str">
        <x:v>a4vg replacement</x:v>
      </x:c>
      <x:c r="B242" s="8" t="n">
        <x:v>0</x:v>
      </x:c>
      <x:c r="C242" s="9" t="n">
        <x:v>0</x:v>
      </x:c>
      <x:c r="D242" s="10" t="n">
        <x:v>0</x:v>
      </x:c>
      <x:c r="E242" s="12" t="n">
        <x:v>0</x:v>
      </x:c>
      <x:c r="F242" s="12" t="n">
        <x:v>0</x:v>
      </x:c>
      <x:c r="G242" s="11" t="n">
        <x:v>0</x:v>
      </x:c>
      <x:c r="H242" s="7" t="str"/>
    </x:row>
    <x:row r="243" ht="19" customHeight="1">
      <x:c r="A243" s="7" t="str">
        <x:v>a4vg supplier</x:v>
      </x:c>
      <x:c r="B243" s="8" t="n">
        <x:v>0</x:v>
      </x:c>
      <x:c r="C243" s="9" t="n">
        <x:v>0</x:v>
      </x:c>
      <x:c r="D243" s="10" t="n">
        <x:v>0</x:v>
      </x:c>
      <x:c r="E243" s="12" t="n">
        <x:v>0</x:v>
      </x:c>
      <x:c r="F243" s="12" t="n">
        <x:v>0</x:v>
      </x:c>
      <x:c r="G243" s="11" t="n">
        <x:v>0</x:v>
      </x:c>
      <x:c r="H243" s="7" t="str"/>
    </x:row>
    <x:row r="244" ht="19" customHeight="1">
      <x:c r="A244" s="7" t="str">
        <x:v>a4vg parts</x:v>
      </x:c>
      <x:c r="B244" s="8" t="n">
        <x:v>0</x:v>
      </x:c>
      <x:c r="C244" s="9" t="n">
        <x:v>0</x:v>
      </x:c>
      <x:c r="D244" s="10" t="n">
        <x:v>0</x:v>
      </x:c>
      <x:c r="E244" s="12" t="n">
        <x:v>0</x:v>
      </x:c>
      <x:c r="F244" s="12" t="n">
        <x:v>0</x:v>
      </x:c>
      <x:c r="G244" s="11" t="n">
        <x:v>0</x:v>
      </x:c>
      <x:c r="H244" s="7" t="str"/>
    </x:row>
    <x:row r="245" ht="19" customHeight="1">
      <x:c r="A245" s="7" t="str">
        <x:v>a4vg seal kit</x:v>
      </x:c>
      <x:c r="B245" s="8" t="n">
        <x:v>0</x:v>
      </x:c>
      <x:c r="C245" s="9" t="n">
        <x:v>0</x:v>
      </x:c>
      <x:c r="D245" s="10" t="n">
        <x:v>0</x:v>
      </x:c>
      <x:c r="E245" s="12" t="n">
        <x:v>0</x:v>
      </x:c>
      <x:c r="F245" s="12" t="n">
        <x:v>0</x:v>
      </x:c>
      <x:c r="G245" s="11" t="n">
        <x:v>0</x:v>
      </x:c>
      <x:c r="H245" s="7" t="str"/>
    </x:row>
    <x:row r="246" ht="19" customHeight="1">
      <x:c r="A246" s="7" t="str">
        <x:v>a4vg equivalent</x:v>
      </x:c>
      <x:c r="B246" s="8" t="n">
        <x:v>0</x:v>
      </x:c>
      <x:c r="C246" s="9" t="n">
        <x:v>0</x:v>
      </x:c>
      <x:c r="D246" s="10" t="n">
        <x:v>0</x:v>
      </x:c>
      <x:c r="E246" s="12" t="n">
        <x:v>0</x:v>
      </x:c>
      <x:c r="F246" s="12" t="n">
        <x:v>0</x:v>
      </x:c>
      <x:c r="G246" s="11" t="n">
        <x:v>0</x:v>
      </x:c>
      <x:c r="H246" s="7" t="str"/>
    </x:row>
    <x:row r="247" ht="19" customHeight="1">
      <x:c r="A247" s="7" t="str">
        <x:v>a10v</x:v>
      </x:c>
      <x:c r="B247" s="8" t="n">
        <x:v>10</x:v>
      </x:c>
      <x:c r="C247" s="9" t="n">
        <x:v>0</x:v>
      </x:c>
      <x:c r="D247" s="10" t="n">
        <x:v>0.21</x:v>
      </x:c>
      <x:c r="E247" s="12" t="n">
        <x:v>20</x:v>
      </x:c>
      <x:c r="F247" s="12" t="n">
        <x:v>14.166666666666666</x:v>
      </x:c>
      <x:c r="G247" s="11" t="n">
        <x:v>0.411764705882353</x:v>
      </x:c>
      <x:c r="H247" s="7" t="str">
        <x:v>Jul 2025:10 | Aug 2025:10 | Sep 2025:10 | Oct 2025:20 | Nov 2025:10 | Dec 2025:10 | Jan 2026:10 | Feb 2026:10 | Mar 2026:20 | Apr 2026:20 | May 2026:20 | Jun 2026:20</x:v>
      </x:c>
    </x:row>
    <x:row r="248" ht="19" customHeight="1">
      <x:c r="A248" s="7" t="str">
        <x:v>a10v replacement</x:v>
      </x:c>
      <x:c r="B248" s="8" t="n">
        <x:v>0</x:v>
      </x:c>
      <x:c r="C248" s="9" t="n">
        <x:v>0</x:v>
      </x:c>
      <x:c r="D248" s="10" t="n">
        <x:v>0</x:v>
      </x:c>
      <x:c r="E248" s="12" t="n">
        <x:v>0</x:v>
      </x:c>
      <x:c r="F248" s="12" t="n">
        <x:v>0</x:v>
      </x:c>
      <x:c r="G248" s="11" t="n">
        <x:v>0</x:v>
      </x:c>
      <x:c r="H248" s="7" t="str"/>
    </x:row>
    <x:row r="249" ht="19" customHeight="1">
      <x:c r="A249" s="7" t="str">
        <x:v>a10v supplier</x:v>
      </x:c>
      <x:c r="B249" s="8" t="n">
        <x:v>0</x:v>
      </x:c>
      <x:c r="C249" s="9" t="n">
        <x:v>0</x:v>
      </x:c>
      <x:c r="D249" s="10" t="n">
        <x:v>0</x:v>
      </x:c>
      <x:c r="E249" s="12" t="n">
        <x:v>0</x:v>
      </x:c>
      <x:c r="F249" s="12" t="n">
        <x:v>0</x:v>
      </x:c>
      <x:c r="G249" s="11" t="n">
        <x:v>0</x:v>
      </x:c>
      <x:c r="H249" s="7" t="str"/>
    </x:row>
    <x:row r="250" ht="19" customHeight="1">
      <x:c r="A250" s="7" t="str">
        <x:v>a10v parts</x:v>
      </x:c>
      <x:c r="B250" s="8" t="n">
        <x:v>0</x:v>
      </x:c>
      <x:c r="C250" s="9" t="n">
        <x:v>0</x:v>
      </x:c>
      <x:c r="D250" s="10" t="n">
        <x:v>0</x:v>
      </x:c>
      <x:c r="E250" s="12" t="n">
        <x:v>0</x:v>
      </x:c>
      <x:c r="F250" s="12" t="n">
        <x:v>0</x:v>
      </x:c>
      <x:c r="G250" s="11" t="n">
        <x:v>0</x:v>
      </x:c>
      <x:c r="H250" s="7" t="str"/>
    </x:row>
    <x:row r="251" ht="19" customHeight="1">
      <x:c r="A251" s="7" t="str">
        <x:v>a10v seal kit</x:v>
      </x:c>
      <x:c r="B251" s="8" t="n">
        <x:v>0</x:v>
      </x:c>
      <x:c r="C251" s="9" t="n">
        <x:v>0</x:v>
      </x:c>
      <x:c r="D251" s="10" t="n">
        <x:v>0</x:v>
      </x:c>
      <x:c r="E251" s="12" t="n">
        <x:v>0</x:v>
      </x:c>
      <x:c r="F251" s="12" t="n">
        <x:v>0</x:v>
      </x:c>
      <x:c r="G251" s="11" t="n">
        <x:v>0</x:v>
      </x:c>
      <x:c r="H251" s="7" t="str"/>
    </x:row>
    <x:row r="252" ht="19" customHeight="1">
      <x:c r="A252" s="7" t="str">
        <x:v>a10v equivalent</x:v>
      </x:c>
      <x:c r="B252" s="8" t="n">
        <x:v>0</x:v>
      </x:c>
      <x:c r="C252" s="9" t="n">
        <x:v>0</x:v>
      </x:c>
      <x:c r="D252" s="10" t="n">
        <x:v>0</x:v>
      </x:c>
      <x:c r="E252" s="12" t="n">
        <x:v>0</x:v>
      </x:c>
      <x:c r="F252" s="12" t="n">
        <x:v>0</x:v>
      </x:c>
      <x:c r="G252" s="11" t="n">
        <x:v>0</x:v>
      </x:c>
      <x:c r="H252" s="7" t="str"/>
    </x:row>
    <x:row r="253" ht="19" customHeight="1">
      <x:c r="A253" s="7" t="str">
        <x:v>ap2d</x:v>
      </x:c>
      <x:c r="B253" s="8" t="n">
        <x:v>0</x:v>
      </x:c>
      <x:c r="C253" s="9" t="n">
        <x:v>0</x:v>
      </x:c>
      <x:c r="D253" s="10" t="n">
        <x:v>0</x:v>
      </x:c>
      <x:c r="E253" s="12" t="n">
        <x:v>0</x:v>
      </x:c>
      <x:c r="F253" s="12" t="n">
        <x:v>0</x:v>
      </x:c>
      <x:c r="G253" s="11" t="n">
        <x:v>0</x:v>
      </x:c>
      <x:c r="H253" s="7" t="str"/>
    </x:row>
    <x:row r="254" ht="19" customHeight="1">
      <x:c r="A254" s="7" t="str">
        <x:v>ap2d replacement</x:v>
      </x:c>
      <x:c r="B254" s="8" t="n">
        <x:v>0</x:v>
      </x:c>
      <x:c r="C254" s="9" t="n">
        <x:v>0</x:v>
      </x:c>
      <x:c r="D254" s="10" t="n">
        <x:v>0</x:v>
      </x:c>
      <x:c r="E254" s="12" t="n">
        <x:v>0</x:v>
      </x:c>
      <x:c r="F254" s="12" t="n">
        <x:v>0</x:v>
      </x:c>
      <x:c r="G254" s="11" t="n">
        <x:v>0</x:v>
      </x:c>
      <x:c r="H254" s="7" t="str"/>
    </x:row>
    <x:row r="255" ht="19" customHeight="1">
      <x:c r="A255" s="7" t="str">
        <x:v>ap2d supplier</x:v>
      </x:c>
      <x:c r="B255" s="8" t="n">
        <x:v>0</x:v>
      </x:c>
      <x:c r="C255" s="9" t="n">
        <x:v>0</x:v>
      </x:c>
      <x:c r="D255" s="10" t="n">
        <x:v>0</x:v>
      </x:c>
      <x:c r="E255" s="12" t="n">
        <x:v>0</x:v>
      </x:c>
      <x:c r="F255" s="12" t="n">
        <x:v>0</x:v>
      </x:c>
      <x:c r="G255" s="11" t="n">
        <x:v>0</x:v>
      </x:c>
      <x:c r="H255" s="7" t="str"/>
    </x:row>
    <x:row r="256" ht="19" customHeight="1">
      <x:c r="A256" s="7" t="str">
        <x:v>ap2d parts</x:v>
      </x:c>
      <x:c r="B256" s="8" t="n">
        <x:v>0</x:v>
      </x:c>
      <x:c r="C256" s="9" t="n">
        <x:v>0</x:v>
      </x:c>
      <x:c r="D256" s="10" t="n">
        <x:v>0</x:v>
      </x:c>
      <x:c r="E256" s="12" t="n">
        <x:v>0</x:v>
      </x:c>
      <x:c r="F256" s="12" t="n">
        <x:v>0</x:v>
      </x:c>
      <x:c r="G256" s="11" t="n">
        <x:v>0</x:v>
      </x:c>
      <x:c r="H256" s="7" t="str"/>
    </x:row>
    <x:row r="257" ht="19" customHeight="1">
      <x:c r="A257" s="7" t="str">
        <x:v>ap2d seal kit</x:v>
      </x:c>
      <x:c r="B257" s="8" t="n">
        <x:v>0</x:v>
      </x:c>
      <x:c r="C257" s="9" t="n">
        <x:v>0</x:v>
      </x:c>
      <x:c r="D257" s="10" t="n">
        <x:v>0</x:v>
      </x:c>
      <x:c r="E257" s="12" t="n">
        <x:v>0</x:v>
      </x:c>
      <x:c r="F257" s="12" t="n">
        <x:v>0</x:v>
      </x:c>
      <x:c r="G257" s="11" t="n">
        <x:v>0</x:v>
      </x:c>
      <x:c r="H257" s="7" t="str"/>
    </x:row>
    <x:row r="258" ht="19" customHeight="1">
      <x:c r="A258" s="7" t="str">
        <x:v>ap2d equivalent</x:v>
      </x:c>
      <x:c r="B258" s="8" t="n">
        <x:v>0</x:v>
      </x:c>
      <x:c r="C258" s="9" t="n">
        <x:v>0</x:v>
      </x:c>
      <x:c r="D258" s="10" t="n">
        <x:v>0</x:v>
      </x:c>
      <x:c r="E258" s="12" t="n">
        <x:v>0</x:v>
      </x:c>
      <x:c r="F258" s="12" t="n">
        <x:v>0</x:v>
      </x:c>
      <x:c r="G258" s="11" t="n">
        <x:v>0</x:v>
      </x:c>
      <x:c r="H258" s="7" t="str"/>
    </x:row>
    <x:row r="259" ht="19" customHeight="1">
      <x:c r="A259" s="7" t="str">
        <x:v>pvh</x:v>
      </x:c>
      <x:c r="B259" s="8" t="n">
        <x:v>8100</x:v>
      </x:c>
      <x:c r="C259" s="9" t="n">
        <x:v>0</x:v>
      </x:c>
      <x:c r="D259" s="10" t="n">
        <x:v>0.01</x:v>
      </x:c>
      <x:c r="E259" s="12" t="n">
        <x:v>6600</x:v>
      </x:c>
      <x:c r="F259" s="12" t="n">
        <x:v>7500</x:v>
      </x:c>
      <x:c r="G259" s="11" t="n">
        <x:v>-0.12</x:v>
      </x:c>
      <x:c r="H259" s="7" t="str">
        <x:v>Jul 2025:9900 | Aug 2025:8100 | Sep 2025:8100 | Oct 2025:8100 | Nov 2025:8100 | Dec 2025:6600 | Jan 2026:6600 | Feb 2026:8100 | Mar 2026:6600 | Apr 2026:6600 | May 2026:6600 | Jun 2026:6600</x:v>
      </x:c>
    </x:row>
    <x:row r="260" ht="19" customHeight="1">
      <x:c r="A260" s="7" t="str">
        <x:v>pvh replacement</x:v>
      </x:c>
      <x:c r="B260" s="8" t="n">
        <x:v>0</x:v>
      </x:c>
      <x:c r="C260" s="9" t="n">
        <x:v>0</x:v>
      </x:c>
      <x:c r="D260" s="10" t="n">
        <x:v>0</x:v>
      </x:c>
      <x:c r="E260" s="12" t="n">
        <x:v>0</x:v>
      </x:c>
      <x:c r="F260" s="12" t="n">
        <x:v>0</x:v>
      </x:c>
      <x:c r="G260" s="11" t="n">
        <x:v>0</x:v>
      </x:c>
      <x:c r="H260" s="7" t="str"/>
    </x:row>
    <x:row r="261" ht="19" customHeight="1">
      <x:c r="A261" s="7" t="str">
        <x:v>pvh supplier</x:v>
      </x:c>
      <x:c r="B261" s="8" t="n">
        <x:v>0</x:v>
      </x:c>
      <x:c r="C261" s="9" t="n">
        <x:v>0</x:v>
      </x:c>
      <x:c r="D261" s="10" t="n">
        <x:v>0</x:v>
      </x:c>
      <x:c r="E261" s="12" t="n">
        <x:v>0</x:v>
      </x:c>
      <x:c r="F261" s="12" t="n">
        <x:v>0</x:v>
      </x:c>
      <x:c r="G261" s="11" t="n">
        <x:v>0</x:v>
      </x:c>
      <x:c r="H261" s="7" t="str"/>
    </x:row>
    <x:row r="262" ht="19" customHeight="1">
      <x:c r="A262" s="7" t="str">
        <x:v>pvh parts</x:v>
      </x:c>
      <x:c r="B262" s="8" t="n">
        <x:v>0</x:v>
      </x:c>
      <x:c r="C262" s="9" t="n">
        <x:v>0</x:v>
      </x:c>
      <x:c r="D262" s="10" t="n">
        <x:v>0</x:v>
      </x:c>
      <x:c r="E262" s="12" t="n">
        <x:v>0</x:v>
      </x:c>
      <x:c r="F262" s="12" t="n">
        <x:v>0</x:v>
      </x:c>
      <x:c r="G262" s="11" t="n">
        <x:v>0</x:v>
      </x:c>
      <x:c r="H262" s="7" t="str"/>
    </x:row>
    <x:row r="263" ht="19" customHeight="1">
      <x:c r="A263" s="7" t="str">
        <x:v>pvh seal kit</x:v>
      </x:c>
      <x:c r="B263" s="8" t="n">
        <x:v>0</x:v>
      </x:c>
      <x:c r="C263" s="9" t="n">
        <x:v>0</x:v>
      </x:c>
      <x:c r="D263" s="10" t="n">
        <x:v>0</x:v>
      </x:c>
      <x:c r="E263" s="12" t="n">
        <x:v>0</x:v>
      </x:c>
      <x:c r="F263" s="12" t="n">
        <x:v>0</x:v>
      </x:c>
      <x:c r="G263" s="11" t="n">
        <x:v>0</x:v>
      </x:c>
      <x:c r="H263" s="7" t="str"/>
    </x:row>
    <x:row r="264" ht="19" customHeight="1">
      <x:c r="A264" s="7" t="str">
        <x:v>pvh equivalent</x:v>
      </x:c>
      <x:c r="B264" s="8" t="n">
        <x:v>0</x:v>
      </x:c>
      <x:c r="C264" s="9" t="n">
        <x:v>0</x:v>
      </x:c>
      <x:c r="D264" s="10" t="n">
        <x:v>0</x:v>
      </x:c>
      <x:c r="E264" s="12" t="n">
        <x:v>0</x:v>
      </x:c>
      <x:c r="F264" s="12" t="n">
        <x:v>0</x:v>
      </x:c>
      <x:c r="G264" s="11" t="n">
        <x:v>0</x:v>
      </x:c>
      <x:c r="H264" s="7" t="str"/>
    </x:row>
    <x:row r="265" ht="19" customHeight="1">
      <x:c r="A265" s="7" t="str">
        <x:v>mcr</x:v>
      </x:c>
      <x:c r="B265" s="8" t="n">
        <x:v>60500</x:v>
      </x:c>
      <x:c r="C265" s="9" t="n">
        <x:v>0.53</x:v>
      </x:c>
      <x:c r="D265" s="10" t="n">
        <x:v>0.05</x:v>
      </x:c>
      <x:c r="E265" s="12" t="n">
        <x:v>40500</x:v>
      </x:c>
      <x:c r="F265" s="12" t="n">
        <x:v>59916.666666666664</x:v>
      </x:c>
      <x:c r="G265" s="11" t="n">
        <x:v>-0.32406119610570233</x:v>
      </x:c>
      <x:c r="H265" s="7" t="str">
        <x:v>Jul 2025:90500 | Aug 2025:90500 | Sep 2025:90500 | Oct 2025:60500 | Nov 2025:49500 | Dec 2025:49500 | Jan 2026:49500 | Feb 2026:49500 | Mar 2026:49500 | Apr 2026:49500 | May 2026:49500 | Jun 2026:40500</x:v>
      </x:c>
    </x:row>
    <x:row r="266" ht="19" customHeight="1">
      <x:c r="A266" s="7" t="str">
        <x:v>mcr replacement</x:v>
      </x:c>
      <x:c r="B266" s="8" t="n">
        <x:v>260</x:v>
      </x:c>
      <x:c r="C266" s="9" t="n">
        <x:v>2.19</x:v>
      </x:c>
      <x:c r="D266" s="10" t="n">
        <x:v>0.19</x:v>
      </x:c>
      <x:c r="E266" s="12" t="n">
        <x:v>170</x:v>
      </x:c>
      <x:c r="F266" s="12" t="n">
        <x:v>250</x:v>
      </x:c>
      <x:c r="G266" s="11" t="n">
        <x:v>-0.32</x:v>
      </x:c>
      <x:c r="H266" s="7" t="str">
        <x:v>Jul 2025:260 | Aug 2025:260 | Sep 2025:260 | Oct 2025:260 | Nov 2025:320 | Dec 2025:260 | Jan 2026:210 | Feb 2026:210 | Mar 2026:210 | Apr 2026:320 | May 2026:260 | Jun 2026:170</x:v>
      </x:c>
    </x:row>
    <x:row r="267" ht="19" customHeight="1">
      <x:c r="A267" s="7" t="str">
        <x:v>mcr supplier</x:v>
      </x:c>
      <x:c r="B267" s="8" t="n">
        <x:v>0</x:v>
      </x:c>
      <x:c r="C267" s="9" t="n">
        <x:v>0</x:v>
      </x:c>
      <x:c r="D267" s="10" t="n">
        <x:v>0</x:v>
      </x:c>
      <x:c r="E267" s="12" t="n">
        <x:v>0</x:v>
      </x:c>
      <x:c r="F267" s="12" t="n">
        <x:v>0</x:v>
      </x:c>
      <x:c r="G267" s="11" t="n">
        <x:v>0</x:v>
      </x:c>
      <x:c r="H267" s="7" t="str"/>
    </x:row>
    <x:row r="268" ht="19" customHeight="1">
      <x:c r="A268" s="7" t="str">
        <x:v>mcr parts</x:v>
      </x:c>
      <x:c r="B268" s="8" t="n">
        <x:v>10</x:v>
      </x:c>
      <x:c r="C268" s="9" t="n">
        <x:v>0</x:v>
      </x:c>
      <x:c r="D268" s="10" t="n">
        <x:v>0</x:v>
      </x:c>
      <x:c r="E268" s="12" t="n">
        <x:v>10</x:v>
      </x:c>
      <x:c r="F268" s="12" t="n">
        <x:v>10</x:v>
      </x:c>
      <x:c r="G268" s="11" t="n">
        <x:v>0</x:v>
      </x:c>
      <x:c r="H268" s="7" t="str">
        <x:v>Jul 2025:10 | Aug 2025:10 | Sep 2025:10 | Oct 2025:10 | Nov 2025:10 | Dec 2025:10 | Jan 2026:10 | Feb 2026:10 | Mar 2026:10 | Apr 2026:10 | May 2026:10 | Jun 2026:10</x:v>
      </x:c>
    </x:row>
    <x:row r="269" ht="19" customHeight="1">
      <x:c r="A269" s="7" t="str">
        <x:v>mcr seal kit</x:v>
      </x:c>
      <x:c r="B269" s="8" t="n">
        <x:v>0</x:v>
      </x:c>
      <x:c r="C269" s="9" t="n">
        <x:v>0</x:v>
      </x:c>
      <x:c r="D269" s="10" t="n">
        <x:v>0</x:v>
      </x:c>
      <x:c r="E269" s="12" t="n">
        <x:v>0</x:v>
      </x:c>
      <x:c r="F269" s="12" t="n">
        <x:v>0</x:v>
      </x:c>
      <x:c r="G269" s="11" t="n">
        <x:v>0</x:v>
      </x:c>
      <x:c r="H269" s="7" t="str"/>
    </x:row>
    <x:row r="270" ht="19" customHeight="1">
      <x:c r="A270" s="7" t="str">
        <x:v>mcr equivalent</x:v>
      </x:c>
      <x:c r="B270" s="8" t="n">
        <x:v>0</x:v>
      </x:c>
      <x:c r="C270" s="9" t="n">
        <x:v>0</x:v>
      </x:c>
      <x:c r="D270" s="10" t="n">
        <x:v>0</x:v>
      </x:c>
      <x:c r="E270" s="12" t="n">
        <x:v>0</x:v>
      </x:c>
      <x:c r="F270" s="12" t="n">
        <x:v>0</x:v>
      </x:c>
      <x:c r="G270" s="11" t="n">
        <x:v>0</x:v>
      </x:c>
      <x:c r="H270" s="7" t="str"/>
    </x:row>
    <x:row r="271" ht="19" customHeight="1">
      <x:c r="A271" s="7" t="str">
        <x:v>t6dc</x:v>
      </x:c>
      <x:c r="B271" s="8" t="n">
        <x:v>20</x:v>
      </x:c>
      <x:c r="C271" s="9" t="n">
        <x:v>0</x:v>
      </x:c>
      <x:c r="D271" s="10" t="n">
        <x:v>0.41</x:v>
      </x:c>
      <x:c r="E271" s="12" t="n">
        <x:v>20</x:v>
      </x:c>
      <x:c r="F271" s="12" t="n">
        <x:v>24.166666666666668</x:v>
      </x:c>
      <x:c r="G271" s="11" t="n">
        <x:v>-0.17241379310344832</x:v>
      </x:c>
      <x:c r="H271" s="7" t="str">
        <x:v>Jul 2025:30 | Aug 2025:30 | Sep 2025:40 | Oct 2025:40 | Nov 2025:30 | Dec 2025:10 | Jan 2026:10 | Feb 2026:40 | Mar 2026:20 | Apr 2026:10 | May 2026:10 | Jun 2026:20</x:v>
      </x:c>
    </x:row>
    <x:row r="272" ht="19" customHeight="1">
      <x:c r="A272" s="7" t="str">
        <x:v>t6dc replacement</x:v>
      </x:c>
      <x:c r="B272" s="8" t="n">
        <x:v>0</x:v>
      </x:c>
      <x:c r="C272" s="9" t="n">
        <x:v>0</x:v>
      </x:c>
      <x:c r="D272" s="10" t="n">
        <x:v>0</x:v>
      </x:c>
      <x:c r="E272" s="12" t="n">
        <x:v>0</x:v>
      </x:c>
      <x:c r="F272" s="12" t="n">
        <x:v>0</x:v>
      </x:c>
      <x:c r="G272" s="11" t="n">
        <x:v>0</x:v>
      </x:c>
      <x:c r="H272" s="7" t="str"/>
    </x:row>
    <x:row r="273" ht="19" customHeight="1">
      <x:c r="A273" s="7" t="str">
        <x:v>t6dc supplier</x:v>
      </x:c>
      <x:c r="B273" s="8" t="n">
        <x:v>0</x:v>
      </x:c>
      <x:c r="C273" s="9" t="n">
        <x:v>0</x:v>
      </x:c>
      <x:c r="D273" s="10" t="n">
        <x:v>0</x:v>
      </x:c>
      <x:c r="E273" s="12" t="n">
        <x:v>0</x:v>
      </x:c>
      <x:c r="F273" s="12" t="n">
        <x:v>0</x:v>
      </x:c>
      <x:c r="G273" s="11" t="n">
        <x:v>0</x:v>
      </x:c>
      <x:c r="H273" s="7" t="str"/>
    </x:row>
    <x:row r="274" ht="19" customHeight="1">
      <x:c r="A274" s="7" t="str">
        <x:v>t6dc parts</x:v>
      </x:c>
      <x:c r="B274" s="8" t="n">
        <x:v>0</x:v>
      </x:c>
      <x:c r="C274" s="9" t="n">
        <x:v>0</x:v>
      </x:c>
      <x:c r="D274" s="10" t="n">
        <x:v>0</x:v>
      </x:c>
      <x:c r="E274" s="12" t="n">
        <x:v>0</x:v>
      </x:c>
      <x:c r="F274" s="12" t="n">
        <x:v>0</x:v>
      </x:c>
      <x:c r="G274" s="11" t="n">
        <x:v>0</x:v>
      </x:c>
      <x:c r="H274" s="7" t="str"/>
    </x:row>
    <x:row r="275" ht="19" customHeight="1">
      <x:c r="A275" s="7" t="str">
        <x:v>t6dc seal kit</x:v>
      </x:c>
      <x:c r="B275" s="8" t="n">
        <x:v>0</x:v>
      </x:c>
      <x:c r="C275" s="9" t="n">
        <x:v>0</x:v>
      </x:c>
      <x:c r="D275" s="10" t="n">
        <x:v>0</x:v>
      </x:c>
      <x:c r="E275" s="12" t="n">
        <x:v>0</x:v>
      </x:c>
      <x:c r="F275" s="12" t="n">
        <x:v>0</x:v>
      </x:c>
      <x:c r="G275" s="11" t="n">
        <x:v>0</x:v>
      </x:c>
      <x:c r="H275" s="7" t="str"/>
    </x:row>
    <x:row r="276" ht="19" customHeight="1">
      <x:c r="A276" s="7" t="str">
        <x:v>t6dc equivalent</x:v>
      </x:c>
      <x:c r="B276" s="8" t="n">
        <x:v>0</x:v>
      </x:c>
      <x:c r="C276" s="9" t="n">
        <x:v>0</x:v>
      </x:c>
      <x:c r="D276" s="10" t="n">
        <x:v>0</x:v>
      </x:c>
      <x:c r="E276" s="12" t="n">
        <x:v>0</x:v>
      </x:c>
      <x:c r="F276" s="12" t="n">
        <x:v>0</x:v>
      </x:c>
      <x:c r="G276" s="11" t="n">
        <x:v>0</x:v>
      </x:c>
      <x:c r="H276" s="7" t="str"/>
    </x:row>
    <x:row r="277" ht="19" customHeight="1">
      <x:c r="A277" s="7" t="str">
        <x:v>t6cc</x:v>
      </x:c>
      <x:c r="B277" s="8" t="n">
        <x:v>10</x:v>
      </x:c>
      <x:c r="C277" s="9" t="n">
        <x:v>0</x:v>
      </x:c>
      <x:c r="D277" s="10" t="n">
        <x:v>0.36</x:v>
      </x:c>
      <x:c r="E277" s="12" t="n">
        <x:v>10</x:v>
      </x:c>
      <x:c r="F277" s="12" t="n">
        <x:v>11.666666666666666</x:v>
      </x:c>
      <x:c r="G277" s="11" t="n">
        <x:v>-0.14285714285714282</x:v>
      </x:c>
      <x:c r="H277" s="7" t="str">
        <x:v>Jul 2025:10 | Aug 2025:20 | Sep 2025:10 | Oct 2025:10 | Nov 2025:10 | Dec 2025:10 | Jan 2026:10 | Feb 2026:20 | Mar 2026:10 | Apr 2026:10 | May 2026:10 | Jun 2026:10</x:v>
      </x:c>
    </x:row>
    <x:row r="278" ht="19" customHeight="1">
      <x:c r="A278" s="7" t="str">
        <x:v>t6cc replacement</x:v>
      </x:c>
      <x:c r="B278" s="8" t="n">
        <x:v>0</x:v>
      </x:c>
      <x:c r="C278" s="9" t="n">
        <x:v>0</x:v>
      </x:c>
      <x:c r="D278" s="10" t="n">
        <x:v>0</x:v>
      </x:c>
      <x:c r="E278" s="12" t="n">
        <x:v>0</x:v>
      </x:c>
      <x:c r="F278" s="12" t="n">
        <x:v>0</x:v>
      </x:c>
      <x:c r="G278" s="11" t="n">
        <x:v>0</x:v>
      </x:c>
      <x:c r="H278" s="7" t="str"/>
    </x:row>
    <x:row r="279" ht="19" customHeight="1">
      <x:c r="A279" s="7" t="str">
        <x:v>t6cc supplier</x:v>
      </x:c>
      <x:c r="B279" s="8" t="n">
        <x:v>0</x:v>
      </x:c>
      <x:c r="C279" s="9" t="n">
        <x:v>0</x:v>
      </x:c>
      <x:c r="D279" s="10" t="n">
        <x:v>0</x:v>
      </x:c>
      <x:c r="E279" s="12" t="n">
        <x:v>0</x:v>
      </x:c>
      <x:c r="F279" s="12" t="n">
        <x:v>0</x:v>
      </x:c>
      <x:c r="G279" s="11" t="n">
        <x:v>0</x:v>
      </x:c>
      <x:c r="H279" s="7" t="str"/>
    </x:row>
    <x:row r="280" ht="19" customHeight="1">
      <x:c r="A280" s="7" t="str">
        <x:v>t6cc parts</x:v>
      </x:c>
      <x:c r="B280" s="8" t="n">
        <x:v>0</x:v>
      </x:c>
      <x:c r="C280" s="9" t="n">
        <x:v>0</x:v>
      </x:c>
      <x:c r="D280" s="10" t="n">
        <x:v>0</x:v>
      </x:c>
      <x:c r="E280" s="12" t="n">
        <x:v>0</x:v>
      </x:c>
      <x:c r="F280" s="12" t="n">
        <x:v>0</x:v>
      </x:c>
      <x:c r="G280" s="11" t="n">
        <x:v>0</x:v>
      </x:c>
      <x:c r="H280" s="7" t="str"/>
    </x:row>
    <x:row r="281" ht="19" customHeight="1">
      <x:c r="A281" s="7" t="str">
        <x:v>t6cc seal kit</x:v>
      </x:c>
      <x:c r="B281" s="8" t="n">
        <x:v>0</x:v>
      </x:c>
      <x:c r="C281" s="9" t="n">
        <x:v>0</x:v>
      </x:c>
      <x:c r="D281" s="10" t="n">
        <x:v>0</x:v>
      </x:c>
      <x:c r="E281" s="12" t="n">
        <x:v>0</x:v>
      </x:c>
      <x:c r="F281" s="12" t="n">
        <x:v>0</x:v>
      </x:c>
      <x:c r="G281" s="11" t="n">
        <x:v>0</x:v>
      </x:c>
      <x:c r="H281" s="7" t="str"/>
    </x:row>
    <x:row r="282" ht="19" customHeight="1">
      <x:c r="A282" s="7" t="str">
        <x:v>t6cc equivalent</x:v>
      </x:c>
      <x:c r="B282" s="8" t="n">
        <x:v>0</x:v>
      </x:c>
      <x:c r="C282" s="9" t="n">
        <x:v>0</x:v>
      </x:c>
      <x:c r="D282" s="10" t="n">
        <x:v>0</x:v>
      </x:c>
      <x:c r="E282" s="12" t="n">
        <x:v>0</x:v>
      </x:c>
      <x:c r="F282" s="12" t="n">
        <x:v>0</x:v>
      </x:c>
      <x:c r="G282" s="11" t="n">
        <x:v>0</x:v>
      </x:c>
      <x:c r="H282" s="7" t="str"/>
    </x:row>
    <x:row r="283" ht="19" customHeight="1">
      <x:c r="A283" s="7" t="str">
        <x:v>t6ccm</x:v>
      </x:c>
      <x:c r="B283" s="8" t="n">
        <x:v>10</x:v>
      </x:c>
      <x:c r="C283" s="9" t="n">
        <x:v>0</x:v>
      </x:c>
      <x:c r="D283" s="10" t="n">
        <x:v>0.71</x:v>
      </x:c>
      <x:c r="E283" s="12" t="n">
        <x:v>10</x:v>
      </x:c>
      <x:c r="F283" s="12" t="n">
        <x:v>10</x:v>
      </x:c>
      <x:c r="G283" s="11" t="n">
        <x:v>0</x:v>
      </x:c>
      <x:c r="H283" s="7" t="str">
        <x:v>Jul 2025:10 | Aug 2025:10 | Sep 2025:10 | Oct 2025:10 | Nov 2025:10 | Dec 2025:10 | Jan 2026:10 | Feb 2026:10 | Mar 2026:10 | Apr 2026:10 | May 2026:10 | Jun 2026:10</x:v>
      </x:c>
    </x:row>
    <x:row r="284" ht="19" customHeight="1">
      <x:c r="A284" s="7" t="str">
        <x:v>t6ccm replacement</x:v>
      </x:c>
      <x:c r="B284" s="8" t="n">
        <x:v>0</x:v>
      </x:c>
      <x:c r="C284" s="9" t="n">
        <x:v>0</x:v>
      </x:c>
      <x:c r="D284" s="10" t="n">
        <x:v>0</x:v>
      </x:c>
      <x:c r="E284" s="12" t="n">
        <x:v>0</x:v>
      </x:c>
      <x:c r="F284" s="12" t="n">
        <x:v>0</x:v>
      </x:c>
      <x:c r="G284" s="11" t="n">
        <x:v>0</x:v>
      </x:c>
      <x:c r="H284" s="7" t="str"/>
    </x:row>
    <x:row r="285" ht="19" customHeight="1">
      <x:c r="A285" s="7" t="str">
        <x:v>t6ccm supplier</x:v>
      </x:c>
      <x:c r="B285" s="8" t="n">
        <x:v>0</x:v>
      </x:c>
      <x:c r="C285" s="9" t="n">
        <x:v>0</x:v>
      </x:c>
      <x:c r="D285" s="10" t="n">
        <x:v>0</x:v>
      </x:c>
      <x:c r="E285" s="12" t="n">
        <x:v>0</x:v>
      </x:c>
      <x:c r="F285" s="12" t="n">
        <x:v>0</x:v>
      </x:c>
      <x:c r="G285" s="11" t="n">
        <x:v>0</x:v>
      </x:c>
      <x:c r="H285" s="7" t="str"/>
    </x:row>
    <x:row r="286" ht="19" customHeight="1">
      <x:c r="A286" s="7" t="str">
        <x:v>t6ccm parts</x:v>
      </x:c>
      <x:c r="B286" s="8" t="n">
        <x:v>0</x:v>
      </x:c>
      <x:c r="C286" s="9" t="n">
        <x:v>0</x:v>
      </x:c>
      <x:c r="D286" s="10" t="n">
        <x:v>0</x:v>
      </x:c>
      <x:c r="E286" s="12" t="n">
        <x:v>0</x:v>
      </x:c>
      <x:c r="F286" s="12" t="n">
        <x:v>0</x:v>
      </x:c>
      <x:c r="G286" s="11" t="n">
        <x:v>0</x:v>
      </x:c>
      <x:c r="H286" s="7" t="str"/>
    </x:row>
    <x:row r="287" ht="19" customHeight="1">
      <x:c r="A287" s="7" t="str">
        <x:v>t6ccm seal kit</x:v>
      </x:c>
      <x:c r="B287" s="8" t="n">
        <x:v>0</x:v>
      </x:c>
      <x:c r="C287" s="9" t="n">
        <x:v>0</x:v>
      </x:c>
      <x:c r="D287" s="10" t="n">
        <x:v>0</x:v>
      </x:c>
      <x:c r="E287" s="12" t="n">
        <x:v>0</x:v>
      </x:c>
      <x:c r="F287" s="12" t="n">
        <x:v>0</x:v>
      </x:c>
      <x:c r="G287" s="11" t="n">
        <x:v>0</x:v>
      </x:c>
      <x:c r="H287" s="7" t="str"/>
    </x:row>
    <x:row r="288" ht="19" customHeight="1">
      <x:c r="A288" s="7" t="str">
        <x:v>t6ccm equivalent</x:v>
      </x:c>
      <x:c r="B288" s="8" t="n">
        <x:v>0</x:v>
      </x:c>
      <x:c r="C288" s="9" t="n">
        <x:v>0</x:v>
      </x:c>
      <x:c r="D288" s="10" t="n">
        <x:v>0</x:v>
      </x:c>
      <x:c r="E288" s="12" t="n">
        <x:v>0</x:v>
      </x:c>
      <x:c r="F288" s="12" t="n">
        <x:v>0</x:v>
      </x:c>
      <x:c r="G288" s="11" t="n">
        <x:v>0</x:v>
      </x:c>
      <x:c r="H288" s="7" t="str"/>
    </x:row>
    <x:row r="289" ht="19" customHeight="1">
      <x:c r="A289" s="7" t="str">
        <x:v>t5d</x:v>
      </x:c>
      <x:c r="B289" s="8" t="n">
        <x:v>30</x:v>
      </x:c>
      <x:c r="C289" s="9" t="n">
        <x:v>0</x:v>
      </x:c>
      <x:c r="D289" s="10" t="n">
        <x:v>0.05</x:v>
      </x:c>
      <x:c r="E289" s="12" t="n">
        <x:v>40</x:v>
      </x:c>
      <x:c r="F289" s="12" t="n">
        <x:v>32.5</x:v>
      </x:c>
      <x:c r="G289" s="11" t="n">
        <x:v>0.23076923076923078</x:v>
      </x:c>
      <x:c r="H289" s="7" t="str">
        <x:v>Jul 2025:30 | Aug 2025:40 | Sep 2025:30 | Oct 2025:30 | Nov 2025:30 | Dec 2025:20 | Jan 2026:20 | Feb 2026:30 | Mar 2026:30 | Apr 2026:40 | May 2026:50 | Jun 2026:40</x:v>
      </x:c>
    </x:row>
    <x:row r="290" ht="19" customHeight="1">
      <x:c r="A290" s="7" t="str">
        <x:v>t5d replacement</x:v>
      </x:c>
      <x:c r="B290" s="8" t="n">
        <x:v>0</x:v>
      </x:c>
      <x:c r="C290" s="9" t="n">
        <x:v>0</x:v>
      </x:c>
      <x:c r="D290" s="10" t="n">
        <x:v>0</x:v>
      </x:c>
      <x:c r="E290" s="12" t="n">
        <x:v>0</x:v>
      </x:c>
      <x:c r="F290" s="12" t="n">
        <x:v>0</x:v>
      </x:c>
      <x:c r="G290" s="11" t="n">
        <x:v>0</x:v>
      </x:c>
      <x:c r="H290" s="7" t="str"/>
    </x:row>
    <x:row r="291" ht="19" customHeight="1">
      <x:c r="A291" s="7" t="str">
        <x:v>t5d supplier</x:v>
      </x:c>
      <x:c r="B291" s="8" t="n">
        <x:v>0</x:v>
      </x:c>
      <x:c r="C291" s="9" t="n">
        <x:v>0</x:v>
      </x:c>
      <x:c r="D291" s="10" t="n">
        <x:v>0</x:v>
      </x:c>
      <x:c r="E291" s="12" t="n">
        <x:v>0</x:v>
      </x:c>
      <x:c r="F291" s="12" t="n">
        <x:v>0</x:v>
      </x:c>
      <x:c r="G291" s="11" t="n">
        <x:v>0</x:v>
      </x:c>
      <x:c r="H291" s="7" t="str"/>
    </x:row>
    <x:row r="292" ht="19" customHeight="1">
      <x:c r="A292" s="7" t="str">
        <x:v>t5d parts</x:v>
      </x:c>
      <x:c r="B292" s="8" t="n">
        <x:v>0</x:v>
      </x:c>
      <x:c r="C292" s="9" t="n">
        <x:v>0</x:v>
      </x:c>
      <x:c r="D292" s="10" t="n">
        <x:v>0</x:v>
      </x:c>
      <x:c r="E292" s="12" t="n">
        <x:v>0</x:v>
      </x:c>
      <x:c r="F292" s="12" t="n">
        <x:v>0</x:v>
      </x:c>
      <x:c r="G292" s="11" t="n">
        <x:v>0</x:v>
      </x:c>
      <x:c r="H292" s="7" t="str"/>
    </x:row>
    <x:row r="293" ht="19" customHeight="1">
      <x:c r="A293" s="7" t="str">
        <x:v>t5d seal kit</x:v>
      </x:c>
      <x:c r="B293" s="8" t="n">
        <x:v>0</x:v>
      </x:c>
      <x:c r="C293" s="9" t="n">
        <x:v>0</x:v>
      </x:c>
      <x:c r="D293" s="10" t="n">
        <x:v>0</x:v>
      </x:c>
      <x:c r="E293" s="12" t="n">
        <x:v>0</x:v>
      </x:c>
      <x:c r="F293" s="12" t="n">
        <x:v>0</x:v>
      </x:c>
      <x:c r="G293" s="11" t="n">
        <x:v>0</x:v>
      </x:c>
      <x:c r="H293" s="7" t="str"/>
    </x:row>
    <x:row r="294" ht="19" customHeight="1">
      <x:c r="A294" s="7" t="str">
        <x:v>t5d equivalent</x:v>
      </x:c>
      <x:c r="B294" s="8" t="n">
        <x:v>0</x:v>
      </x:c>
      <x:c r="C294" s="9" t="n">
        <x:v>0</x:v>
      </x:c>
      <x:c r="D294" s="10" t="n">
        <x:v>0</x:v>
      </x:c>
      <x:c r="E294" s="12" t="n">
        <x:v>0</x:v>
      </x:c>
      <x:c r="F294" s="12" t="n">
        <x:v>0</x:v>
      </x:c>
      <x:c r="G294" s="11" t="n">
        <x:v>0</x:v>
      </x:c>
      <x:c r="H294" s="7" t="str"/>
    </x:row>
    <x:row r="295" ht="19" customHeight="1">
      <x:c r="A295" s="7" t="str">
        <x:v>m1d</x:v>
      </x:c>
      <x:c r="B295" s="8" t="n">
        <x:v>390</x:v>
      </x:c>
      <x:c r="C295" s="9" t="n">
        <x:v>0</x:v>
      </x:c>
      <x:c r="D295" s="10" t="n">
        <x:v>0</x:v>
      </x:c>
      <x:c r="E295" s="12" t="n">
        <x:v>320</x:v>
      </x:c>
      <x:c r="F295" s="12" t="n">
        <x:v>430</x:v>
      </x:c>
      <x:c r="G295" s="11" t="n">
        <x:v>-0.2558139534883721</x:v>
      </x:c>
      <x:c r="H295" s="7" t="str">
        <x:v>Jul 2025:590 | Aug 2025:390 | Sep 2025:390 | Oct 2025:390 | Nov 2025:390 | Dec 2025:390 | Jan 2026:720 | Feb 2026:390 | Mar 2026:480 | Apr 2026:390 | May 2026:320 | Jun 2026:320</x:v>
      </x:c>
    </x:row>
    <x:row r="296" ht="19" customHeight="1">
      <x:c r="A296" s="7" t="str">
        <x:v>m1d replacement</x:v>
      </x:c>
      <x:c r="B296" s="8" t="n">
        <x:v>0</x:v>
      </x:c>
      <x:c r="C296" s="9" t="n">
        <x:v>0</x:v>
      </x:c>
      <x:c r="D296" s="10" t="n">
        <x:v>0</x:v>
      </x:c>
      <x:c r="E296" s="12" t="n">
        <x:v>0</x:v>
      </x:c>
      <x:c r="F296" s="12" t="n">
        <x:v>0</x:v>
      </x:c>
      <x:c r="G296" s="11" t="n">
        <x:v>0</x:v>
      </x:c>
      <x:c r="H296" s="7" t="str"/>
    </x:row>
    <x:row r="297" ht="19" customHeight="1">
      <x:c r="A297" s="7" t="str">
        <x:v>m1d supplier</x:v>
      </x:c>
      <x:c r="B297" s="8" t="n">
        <x:v>0</x:v>
      </x:c>
      <x:c r="C297" s="9" t="n">
        <x:v>0</x:v>
      </x:c>
      <x:c r="D297" s="10" t="n">
        <x:v>0</x:v>
      </x:c>
      <x:c r="E297" s="12" t="n">
        <x:v>0</x:v>
      </x:c>
      <x:c r="F297" s="12" t="n">
        <x:v>0</x:v>
      </x:c>
      <x:c r="G297" s="11" t="n">
        <x:v>0</x:v>
      </x:c>
      <x:c r="H297" s="7" t="str"/>
    </x:row>
    <x:row r="298" ht="19" customHeight="1">
      <x:c r="A298" s="7" t="str">
        <x:v>m1d parts</x:v>
      </x:c>
      <x:c r="B298" s="8" t="n">
        <x:v>10</x:v>
      </x:c>
      <x:c r="C298" s="9" t="n">
        <x:v>0</x:v>
      </x:c>
      <x:c r="D298" s="10" t="n">
        <x:v>0</x:v>
      </x:c>
      <x:c r="E298" s="12" t="n">
        <x:v>0</x:v>
      </x:c>
      <x:c r="F298" s="12" t="n">
        <x:v>8.333333333333334</x:v>
      </x:c>
      <x:c r="G298" s="11" t="n">
        <x:v>-1</x:v>
      </x:c>
      <x:c r="H298" s="7" t="str">
        <x:v>Jul 2025:10 | Aug 2025:10 | Sep 2025:10 | Oct 2025:10 | Nov 2025:10 | Dec 2025:10 | Jan 2026:10 | Feb 2026:10 | Mar 2026:10 | Apr 2026:0 | May 2026:10 | Jun 2026:0</x:v>
      </x:c>
    </x:row>
    <x:row r="299" ht="19" customHeight="1">
      <x:c r="A299" s="7" t="str">
        <x:v>m1d seal kit</x:v>
      </x:c>
      <x:c r="B299" s="8" t="n">
        <x:v>0</x:v>
      </x:c>
      <x:c r="C299" s="9" t="n">
        <x:v>0</x:v>
      </x:c>
      <x:c r="D299" s="10" t="n">
        <x:v>0</x:v>
      </x:c>
      <x:c r="E299" s="12" t="n">
        <x:v>0</x:v>
      </x:c>
      <x:c r="F299" s="12" t="n">
        <x:v>0</x:v>
      </x:c>
      <x:c r="G299" s="11" t="n">
        <x:v>0</x:v>
      </x:c>
      <x:c r="H299" s="7" t="str"/>
    </x:row>
    <x:row r="300" ht="19" customHeight="1">
      <x:c r="A300" s="7" t="str">
        <x:v>m1d equivalent</x:v>
      </x:c>
      <x:c r="B300" s="8" t="n">
        <x:v>0</x:v>
      </x:c>
      <x:c r="C300" s="9" t="n">
        <x:v>0</x:v>
      </x:c>
      <x:c r="D300" s="10" t="n">
        <x:v>0</x:v>
      </x:c>
      <x:c r="E300" s="12" t="n">
        <x:v>0</x:v>
      </x:c>
      <x:c r="F300" s="12" t="n">
        <x:v>0</x:v>
      </x:c>
      <x:c r="G300" s="11" t="n">
        <x:v>0</x:v>
      </x:c>
      <x:c r="H300" s="7" t="str"/>
    </x:row>
    <x:row r="301" ht="19" customHeight="1">
      <x:c r="A301" s="7" t="str">
        <x:v>tmb</x:v>
      </x:c>
      <x:c r="B301" s="8" t="n">
        <x:v>18100</x:v>
      </x:c>
      <x:c r="C301" s="9" t="n">
        <x:v>3.67</x:v>
      </x:c>
      <x:c r="D301" s="10" t="n">
        <x:v>0</x:v>
      </x:c>
      <x:c r="E301" s="12" t="n">
        <x:v>22200</x:v>
      </x:c>
      <x:c r="F301" s="12" t="n">
        <x:v>18783.333333333332</x:v>
      </x:c>
      <x:c r="G301" s="11" t="n">
        <x:v>0.18189884649511986</x:v>
      </x:c>
      <x:c r="H301" s="7" t="str">
        <x:v>Jul 2025:18100 | Aug 2025:18100 | Sep 2025:18100 | Oct 2025:18100 | Nov 2025:18100 | Dec 2025:22200 | Jan 2026:18100 | Feb 2026:18100 | Mar 2026:18100 | Apr 2026:18100 | May 2026:18100 | Jun 2026:22200</x:v>
      </x:c>
    </x:row>
    <x:row r="302" ht="19" customHeight="1">
      <x:c r="A302" s="7" t="str">
        <x:v>tmb replacement</x:v>
      </x:c>
      <x:c r="B302" s="8" t="n">
        <x:v>0</x:v>
      </x:c>
      <x:c r="C302" s="9" t="n">
        <x:v>0</x:v>
      </x:c>
      <x:c r="D302" s="10" t="n">
        <x:v>0</x:v>
      </x:c>
      <x:c r="E302" s="12" t="n">
        <x:v>0</x:v>
      </x:c>
      <x:c r="F302" s="12" t="n">
        <x:v>0</x:v>
      </x:c>
      <x:c r="G302" s="11" t="n">
        <x:v>0</x:v>
      </x:c>
      <x:c r="H302" s="7" t="str"/>
    </x:row>
    <x:row r="303" ht="19" customHeight="1">
      <x:c r="A303" s="7" t="str">
        <x:v>tmb supplier</x:v>
      </x:c>
      <x:c r="B303" s="8" t="n">
        <x:v>0</x:v>
      </x:c>
      <x:c r="C303" s="9" t="n">
        <x:v>0</x:v>
      </x:c>
      <x:c r="D303" s="10" t="n">
        <x:v>0</x:v>
      </x:c>
      <x:c r="E303" s="12" t="n">
        <x:v>0</x:v>
      </x:c>
      <x:c r="F303" s="12" t="n">
        <x:v>0</x:v>
      </x:c>
      <x:c r="G303" s="11" t="n">
        <x:v>0</x:v>
      </x:c>
      <x:c r="H303" s="7" t="str"/>
    </x:row>
    <x:row r="304" ht="19" customHeight="1">
      <x:c r="A304" s="7" t="str">
        <x:v>tmb parts</x:v>
      </x:c>
      <x:c r="B304" s="8" t="n">
        <x:v>10</x:v>
      </x:c>
      <x:c r="C304" s="9" t="n">
        <x:v>0</x:v>
      </x:c>
      <x:c r="D304" s="10" t="n">
        <x:v>0</x:v>
      </x:c>
      <x:c r="E304" s="12" t="n">
        <x:v>10</x:v>
      </x:c>
      <x:c r="F304" s="12" t="n">
        <x:v>10</x:v>
      </x:c>
      <x:c r="G304" s="11" t="n">
        <x:v>0</x:v>
      </x:c>
      <x:c r="H304" s="7" t="str">
        <x:v>Jul 2025:10 | Aug 2025:10 | Sep 2025:10 | Oct 2025:10 | Nov 2025:10 | Dec 2025:10 | Jan 2026:10 | Feb 2026:10 | Mar 2026:10 | Apr 2026:10 | May 2026:10 | Jun 2026:10</x:v>
      </x:c>
    </x:row>
    <x:row r="305" ht="19" customHeight="1">
      <x:c r="A305" s="7" t="str">
        <x:v>tmb seal kit</x:v>
      </x:c>
      <x:c r="B305" s="8" t="n">
        <x:v>0</x:v>
      </x:c>
      <x:c r="C305" s="9" t="n">
        <x:v>0</x:v>
      </x:c>
      <x:c r="D305" s="10" t="n">
        <x:v>0</x:v>
      </x:c>
      <x:c r="E305" s="12" t="n">
        <x:v>0</x:v>
      </x:c>
      <x:c r="F305" s="12" t="n">
        <x:v>0</x:v>
      </x:c>
      <x:c r="G305" s="11" t="n">
        <x:v>0</x:v>
      </x:c>
      <x:c r="H305" s="7" t="str"/>
    </x:row>
    <x:row r="306" ht="19" customHeight="1">
      <x:c r="A306" s="7" t="str">
        <x:v>tmb equivalent</x:v>
      </x:c>
      <x:c r="B306" s="8" t="n">
        <x:v>0</x:v>
      </x:c>
      <x:c r="C306" s="9" t="n">
        <x:v>0</x:v>
      </x:c>
      <x:c r="D306" s="10" t="n">
        <x:v>0</x:v>
      </x:c>
      <x:c r="E306" s="12" t="n">
        <x:v>0</x:v>
      </x:c>
      <x:c r="F306" s="12" t="n">
        <x:v>0</x:v>
      </x:c>
      <x:c r="G306" s="11" t="n">
        <x:v>0</x:v>
      </x:c>
      <x:c r="H306" s="7" t="str"/>
    </x:row>
    <x:row r="307" ht="19" customHeight="1">
      <x:c r="A307" s="7" t="str">
        <x:v>4we6</x:v>
      </x:c>
      <x:c r="B307" s="8" t="n">
        <x:v>20</x:v>
      </x:c>
      <x:c r="C307" s="9" t="n">
        <x:v>0</x:v>
      </x:c>
      <x:c r="D307" s="10" t="n">
        <x:v>0.95</x:v>
      </x:c>
      <x:c r="E307" s="12" t="n">
        <x:v>30</x:v>
      </x:c>
      <x:c r="F307" s="12" t="n">
        <x:v>24.166666666666668</x:v>
      </x:c>
      <x:c r="G307" s="11" t="n">
        <x:v>0.2413793103448275</x:v>
      </x:c>
      <x:c r="H307" s="7" t="str">
        <x:v>Jul 2025:10 | Aug 2025:20 | Sep 2025:10 | Oct 2025:20 | Nov 2025:10 | Dec 2025:20 | Jan 2026:40 | Feb 2026:40 | Mar 2026:20 | Apr 2026:40 | May 2026:30 | Jun 2026:30</x:v>
      </x:c>
    </x:row>
    <x:row r="308" ht="19" customHeight="1">
      <x:c r="A308" s="7" t="str">
        <x:v>4we6 replacement</x:v>
      </x:c>
      <x:c r="B308" s="8" t="n">
        <x:v>0</x:v>
      </x:c>
      <x:c r="C308" s="9" t="n">
        <x:v>0</x:v>
      </x:c>
      <x:c r="D308" s="10" t="n">
        <x:v>0</x:v>
      </x:c>
      <x:c r="E308" s="12" t="n">
        <x:v>0</x:v>
      </x:c>
      <x:c r="F308" s="12" t="n">
        <x:v>0</x:v>
      </x:c>
      <x:c r="G308" s="11" t="n">
        <x:v>0</x:v>
      </x:c>
      <x:c r="H308" s="7" t="str"/>
    </x:row>
    <x:row r="309" ht="19" customHeight="1">
      <x:c r="A309" s="7" t="str">
        <x:v>4we6 supplier</x:v>
      </x:c>
      <x:c r="B309" s="8" t="n">
        <x:v>0</x:v>
      </x:c>
      <x:c r="C309" s="9" t="n">
        <x:v>0</x:v>
      </x:c>
      <x:c r="D309" s="10" t="n">
        <x:v>0</x:v>
      </x:c>
      <x:c r="E309" s="12" t="n">
        <x:v>0</x:v>
      </x:c>
      <x:c r="F309" s="12" t="n">
        <x:v>0</x:v>
      </x:c>
      <x:c r="G309" s="11" t="n">
        <x:v>0</x:v>
      </x:c>
      <x:c r="H309" s="7" t="str"/>
    </x:row>
    <x:row r="310" ht="19" customHeight="1">
      <x:c r="A310" s="7" t="str">
        <x:v>4we6 parts</x:v>
      </x:c>
      <x:c r="B310" s="8" t="n">
        <x:v>0</x:v>
      </x:c>
      <x:c r="C310" s="9" t="n">
        <x:v>0</x:v>
      </x:c>
      <x:c r="D310" s="10" t="n">
        <x:v>0</x:v>
      </x:c>
      <x:c r="E310" s="12" t="n">
        <x:v>0</x:v>
      </x:c>
      <x:c r="F310" s="12" t="n">
        <x:v>0</x:v>
      </x:c>
      <x:c r="G310" s="11" t="n">
        <x:v>0</x:v>
      </x:c>
      <x:c r="H310" s="7" t="str"/>
    </x:row>
    <x:row r="311" ht="19" customHeight="1">
      <x:c r="A311" s="7" t="str">
        <x:v>4we6 seal kit</x:v>
      </x:c>
      <x:c r="B311" s="8" t="n">
        <x:v>0</x:v>
      </x:c>
      <x:c r="C311" s="9" t="n">
        <x:v>0</x:v>
      </x:c>
      <x:c r="D311" s="10" t="n">
        <x:v>0</x:v>
      </x:c>
      <x:c r="E311" s="12" t="n">
        <x:v>0</x:v>
      </x:c>
      <x:c r="F311" s="12" t="n">
        <x:v>0</x:v>
      </x:c>
      <x:c r="G311" s="11" t="n">
        <x:v>0</x:v>
      </x:c>
      <x:c r="H311" s="7" t="str"/>
    </x:row>
    <x:row r="312" ht="19" customHeight="1">
      <x:c r="A312" s="7" t="str">
        <x:v>4we6 equivalent</x:v>
      </x:c>
      <x:c r="B312" s="8" t="n">
        <x:v>0</x:v>
      </x:c>
      <x:c r="C312" s="9" t="n">
        <x:v>0</x:v>
      </x:c>
      <x:c r="D312" s="10" t="n">
        <x:v>0</x:v>
      </x:c>
      <x:c r="E312" s="12" t="n">
        <x:v>0</x:v>
      </x:c>
      <x:c r="F312" s="12" t="n">
        <x:v>0</x:v>
      </x:c>
      <x:c r="G312" s="11" t="n">
        <x:v>0</x:v>
      </x:c>
      <x:c r="H312" s="7" t="str"/>
    </x:row>
    <x:row r="313" ht="19" customHeight="1">
      <x:c r="A313" s="7" t="str">
        <x:v>4we10</x:v>
      </x:c>
      <x:c r="B313" s="8" t="n">
        <x:v>10</x:v>
      </x:c>
      <x:c r="C313" s="9" t="n">
        <x:v>0</x:v>
      </x:c>
      <x:c r="D313" s="10" t="n">
        <x:v>0.11</x:v>
      </x:c>
      <x:c r="E313" s="12" t="n">
        <x:v>10</x:v>
      </x:c>
      <x:c r="F313" s="12" t="n">
        <x:v>12.5</x:v>
      </x:c>
      <x:c r="G313" s="11" t="n">
        <x:v>-0.2</x:v>
      </x:c>
      <x:c r="H313" s="7" t="str">
        <x:v>Jul 2025:10 | Aug 2025:10 | Sep 2025:10 | Oct 2025:10 | Nov 2025:20 | Dec 2025:10 | Jan 2026:10 | Feb 2026:10 | Mar 2026:20 | Apr 2026:20 | May 2026:10 | Jun 2026:10</x:v>
      </x:c>
    </x:row>
    <x:row r="314" ht="19" customHeight="1">
      <x:c r="A314" s="7" t="str">
        <x:v>4we10 replacement</x:v>
      </x:c>
      <x:c r="B314" s="8" t="n">
        <x:v>0</x:v>
      </x:c>
      <x:c r="C314" s="9" t="n">
        <x:v>0</x:v>
      </x:c>
      <x:c r="D314" s="10" t="n">
        <x:v>0</x:v>
      </x:c>
      <x:c r="E314" s="12" t="n">
        <x:v>0</x:v>
      </x:c>
      <x:c r="F314" s="12" t="n">
        <x:v>0</x:v>
      </x:c>
      <x:c r="G314" s="11" t="n">
        <x:v>0</x:v>
      </x:c>
      <x:c r="H314" s="7" t="str"/>
    </x:row>
    <x:row r="315" ht="19" customHeight="1">
      <x:c r="A315" s="7" t="str">
        <x:v>4we10 supplier</x:v>
      </x:c>
      <x:c r="B315" s="8" t="n">
        <x:v>0</x:v>
      </x:c>
      <x:c r="C315" s="9" t="n">
        <x:v>0</x:v>
      </x:c>
      <x:c r="D315" s="10" t="n">
        <x:v>0</x:v>
      </x:c>
      <x:c r="E315" s="12" t="n">
        <x:v>0</x:v>
      </x:c>
      <x:c r="F315" s="12" t="n">
        <x:v>0</x:v>
      </x:c>
      <x:c r="G315" s="11" t="n">
        <x:v>0</x:v>
      </x:c>
      <x:c r="H315" s="7" t="str"/>
    </x:row>
    <x:row r="316" ht="19" customHeight="1">
      <x:c r="A316" s="7" t="str">
        <x:v>4we10 parts</x:v>
      </x:c>
      <x:c r="B316" s="8" t="n">
        <x:v>0</x:v>
      </x:c>
      <x:c r="C316" s="9" t="n">
        <x:v>0</x:v>
      </x:c>
      <x:c r="D316" s="10" t="n">
        <x:v>0</x:v>
      </x:c>
      <x:c r="E316" s="12" t="n">
        <x:v>0</x:v>
      </x:c>
      <x:c r="F316" s="12" t="n">
        <x:v>0</x:v>
      </x:c>
      <x:c r="G316" s="11" t="n">
        <x:v>0</x:v>
      </x:c>
      <x:c r="H316" s="7" t="str"/>
    </x:row>
    <x:row r="317" ht="19" customHeight="1">
      <x:c r="A317" s="7" t="str">
        <x:v>4we10 seal kit</x:v>
      </x:c>
      <x:c r="B317" s="8" t="n">
        <x:v>0</x:v>
      </x:c>
      <x:c r="C317" s="9" t="n">
        <x:v>0</x:v>
      </x:c>
      <x:c r="D317" s="10" t="n">
        <x:v>0</x:v>
      </x:c>
      <x:c r="E317" s="12" t="n">
        <x:v>0</x:v>
      </x:c>
      <x:c r="F317" s="12" t="n">
        <x:v>0</x:v>
      </x:c>
      <x:c r="G317" s="11" t="n">
        <x:v>0</x:v>
      </x:c>
      <x:c r="H317" s="7" t="str"/>
    </x:row>
    <x:row r="318" ht="19" customHeight="1">
      <x:c r="A318" s="7" t="str">
        <x:v>4we10 equivalent</x:v>
      </x:c>
      <x:c r="B318" s="8" t="n">
        <x:v>0</x:v>
      </x:c>
      <x:c r="C318" s="9" t="n">
        <x:v>0</x:v>
      </x:c>
      <x:c r="D318" s="10" t="n">
        <x:v>0</x:v>
      </x:c>
      <x:c r="E318" s="12" t="n">
        <x:v>0</x:v>
      </x:c>
      <x:c r="F318" s="12" t="n">
        <x:v>0</x:v>
      </x:c>
      <x:c r="G318" s="11" t="n">
        <x:v>0</x:v>
      </x:c>
      <x:c r="H318" s="7" t="str"/>
    </x:row>
    <x:row r="319" ht="19" customHeight="1">
      <x:c r="A319" s="7" t="str">
        <x:v>dg4v</x:v>
      </x:c>
      <x:c r="B319" s="8" t="n">
        <x:v>70</x:v>
      </x:c>
      <x:c r="C319" s="9" t="n">
        <x:v>1.54</x:v>
      </x:c>
      <x:c r="D319" s="10" t="n">
        <x:v>0.67</x:v>
      </x:c>
      <x:c r="E319" s="12" t="n">
        <x:v>30</x:v>
      </x:c>
      <x:c r="F319" s="12" t="n">
        <x:v>70</x:v>
      </x:c>
      <x:c r="G319" s="11" t="n">
        <x:v>-0.5714285714285714</x:v>
      </x:c>
      <x:c r="H319" s="7" t="str">
        <x:v>Jul 2025:40 | Aug 2025:50 | Sep 2025:110 | Oct 2025:170 | Nov 2025:140 | Dec 2025:70 | Jan 2026:110 | Feb 2026:30 | Mar 2026:30 | Apr 2026:40 | May 2026:20 | Jun 2026:30</x:v>
      </x:c>
    </x:row>
    <x:row r="320" ht="19" customHeight="1">
      <x:c r="A320" s="7" t="str">
        <x:v>dg4v replacement</x:v>
      </x:c>
      <x:c r="B320" s="8" t="n">
        <x:v>0</x:v>
      </x:c>
      <x:c r="C320" s="9" t="n">
        <x:v>0</x:v>
      </x:c>
      <x:c r="D320" s="10" t="n">
        <x:v>0</x:v>
      </x:c>
      <x:c r="E320" s="12" t="n">
        <x:v>0</x:v>
      </x:c>
      <x:c r="F320" s="12" t="n">
        <x:v>0</x:v>
      </x:c>
      <x:c r="G320" s="11" t="n">
        <x:v>0</x:v>
      </x:c>
      <x:c r="H320" s="7" t="str"/>
    </x:row>
    <x:row r="321" ht="19" customHeight="1">
      <x:c r="A321" s="7" t="str">
        <x:v>dg4v supplier</x:v>
      </x:c>
      <x:c r="B321" s="8" t="n">
        <x:v>0</x:v>
      </x:c>
      <x:c r="C321" s="9" t="n">
        <x:v>0</x:v>
      </x:c>
      <x:c r="D321" s="10" t="n">
        <x:v>0</x:v>
      </x:c>
      <x:c r="E321" s="12" t="n">
        <x:v>0</x:v>
      </x:c>
      <x:c r="F321" s="12" t="n">
        <x:v>0</x:v>
      </x:c>
      <x:c r="G321" s="11" t="n">
        <x:v>0</x:v>
      </x:c>
      <x:c r="H321" s="7" t="str"/>
    </x:row>
    <x:row r="322" ht="19" customHeight="1">
      <x:c r="A322" s="7" t="str">
        <x:v>dg4v parts</x:v>
      </x:c>
      <x:c r="B322" s="8" t="n">
        <x:v>0</x:v>
      </x:c>
      <x:c r="C322" s="9" t="n">
        <x:v>0</x:v>
      </x:c>
      <x:c r="D322" s="10" t="n">
        <x:v>0</x:v>
      </x:c>
      <x:c r="E322" s="12" t="n">
        <x:v>0</x:v>
      </x:c>
      <x:c r="F322" s="12" t="n">
        <x:v>0</x:v>
      </x:c>
      <x:c r="G322" s="11" t="n">
        <x:v>0</x:v>
      </x:c>
      <x:c r="H322" s="7" t="str"/>
    </x:row>
    <x:row r="323" ht="19" customHeight="1">
      <x:c r="A323" s="7" t="str">
        <x:v>dg4v seal kit</x:v>
      </x:c>
      <x:c r="B323" s="8" t="n">
        <x:v>0</x:v>
      </x:c>
      <x:c r="C323" s="9" t="n">
        <x:v>0</x:v>
      </x:c>
      <x:c r="D323" s="10" t="n">
        <x:v>0</x:v>
      </x:c>
      <x:c r="E323" s="12" t="n">
        <x:v>0</x:v>
      </x:c>
      <x:c r="F323" s="12" t="n">
        <x:v>0</x:v>
      </x:c>
      <x:c r="G323" s="11" t="n">
        <x:v>0</x:v>
      </x:c>
      <x:c r="H323" s="7" t="str"/>
    </x:row>
    <x:row r="324" ht="19" customHeight="1">
      <x:c r="A324" s="7" t="str">
        <x:v>dg4v equivalent</x:v>
      </x:c>
      <x:c r="B324" s="8" t="n">
        <x:v>0</x:v>
      </x:c>
      <x:c r="C324" s="9" t="n">
        <x:v>0</x:v>
      </x:c>
      <x:c r="D324" s="10" t="n">
        <x:v>0</x:v>
      </x:c>
      <x:c r="E324" s="12" t="n">
        <x:v>0</x:v>
      </x:c>
      <x:c r="F324" s="12" t="n">
        <x:v>0</x:v>
      </x:c>
      <x:c r="G324" s="11" t="n">
        <x:v>0</x:v>
      </x:c>
      <x:c r="H324" s="7" t="str"/>
    </x:row>
    <x:row r="325" ht="19" customHeight="1">
      <x:c r="A325" s="7" t="str">
        <x:v>d1vw</x:v>
      </x:c>
      <x:c r="B325" s="8" t="n">
        <x:v>40</x:v>
      </x:c>
      <x:c r="C325" s="9" t="n">
        <x:v>0</x:v>
      </x:c>
      <x:c r="D325" s="10" t="n">
        <x:v>0.17</x:v>
      </x:c>
      <x:c r="E325" s="12" t="n">
        <x:v>30</x:v>
      </x:c>
      <x:c r="F325" s="12" t="n">
        <x:v>40.833333333333336</x:v>
      </x:c>
      <x:c r="G325" s="11" t="n">
        <x:v>-0.2653061224489796</x:v>
      </x:c>
      <x:c r="H325" s="7" t="str">
        <x:v>Jul 2025:30 | Aug 2025:40 | Sep 2025:40 | Oct 2025:30 | Nov 2025:50 | Dec 2025:20 | Jan 2026:40 | Feb 2026:70 | Mar 2026:50 | Apr 2026:50 | May 2026:40 | Jun 2026:30</x:v>
      </x:c>
    </x:row>
    <x:row r="326" ht="19" customHeight="1">
      <x:c r="A326" s="7" t="str">
        <x:v>d1vw replacement</x:v>
      </x:c>
      <x:c r="B326" s="8" t="n">
        <x:v>0</x:v>
      </x:c>
      <x:c r="C326" s="9" t="n">
        <x:v>0</x:v>
      </x:c>
      <x:c r="D326" s="10" t="n">
        <x:v>0</x:v>
      </x:c>
      <x:c r="E326" s="12" t="n">
        <x:v>0</x:v>
      </x:c>
      <x:c r="F326" s="12" t="n">
        <x:v>0</x:v>
      </x:c>
      <x:c r="G326" s="11" t="n">
        <x:v>0</x:v>
      </x:c>
      <x:c r="H326" s="7" t="str"/>
    </x:row>
    <x:row r="327" ht="19" customHeight="1">
      <x:c r="A327" s="7" t="str">
        <x:v>d1vw supplier</x:v>
      </x:c>
      <x:c r="B327" s="8" t="n">
        <x:v>0</x:v>
      </x:c>
      <x:c r="C327" s="9" t="n">
        <x:v>0</x:v>
      </x:c>
      <x:c r="D327" s="10" t="n">
        <x:v>0</x:v>
      </x:c>
      <x:c r="E327" s="12" t="n">
        <x:v>0</x:v>
      </x:c>
      <x:c r="F327" s="12" t="n">
        <x:v>0</x:v>
      </x:c>
      <x:c r="G327" s="11" t="n">
        <x:v>0</x:v>
      </x:c>
      <x:c r="H327" s="7" t="str"/>
    </x:row>
    <x:row r="328" ht="19" customHeight="1">
      <x:c r="A328" s="7" t="str">
        <x:v>d1vw parts</x:v>
      </x:c>
      <x:c r="B328" s="8" t="n">
        <x:v>0</x:v>
      </x:c>
      <x:c r="C328" s="9" t="n">
        <x:v>0</x:v>
      </x:c>
      <x:c r="D328" s="10" t="n">
        <x:v>0</x:v>
      </x:c>
      <x:c r="E328" s="12" t="n">
        <x:v>0</x:v>
      </x:c>
      <x:c r="F328" s="12" t="n">
        <x:v>0</x:v>
      </x:c>
      <x:c r="G328" s="11" t="n">
        <x:v>0</x:v>
      </x:c>
      <x:c r="H328" s="7" t="str"/>
    </x:row>
    <x:row r="329" ht="19" customHeight="1">
      <x:c r="A329" s="7" t="str">
        <x:v>d1vw seal kit</x:v>
      </x:c>
      <x:c r="B329" s="8" t="n">
        <x:v>0</x:v>
      </x:c>
      <x:c r="C329" s="9" t="n">
        <x:v>0</x:v>
      </x:c>
      <x:c r="D329" s="10" t="n">
        <x:v>0</x:v>
      </x:c>
      <x:c r="E329" s="12" t="n">
        <x:v>0</x:v>
      </x:c>
      <x:c r="F329" s="12" t="n">
        <x:v>0</x:v>
      </x:c>
      <x:c r="G329" s="11" t="n">
        <x:v>0</x:v>
      </x:c>
      <x:c r="H329" s="7" t="str"/>
    </x:row>
    <x:row r="330" ht="19" customHeight="1">
      <x:c r="A330" s="7" t="str">
        <x:v>d1vw equivalent</x:v>
      </x:c>
      <x:c r="B330" s="8" t="n">
        <x:v>0</x:v>
      </x:c>
      <x:c r="C330" s="9" t="n">
        <x:v>0</x:v>
      </x:c>
      <x:c r="D330" s="10" t="n">
        <x:v>0</x:v>
      </x:c>
      <x:c r="E330" s="12" t="n">
        <x:v>0</x:v>
      </x:c>
      <x:c r="F330" s="12" t="n">
        <x:v>0</x:v>
      </x:c>
      <x:c r="G330" s="11" t="n">
        <x:v>0</x:v>
      </x:c>
      <x:c r="H330" s="7" t="str"/>
    </x:row>
    <x:row r="331" ht="19" customHeight="1">
      <x:c r="A331" s="7" t="str">
        <x:v>pavc</x:v>
      </x:c>
      <x:c r="B331" s="8" t="n">
        <x:v>480</x:v>
      </x:c>
      <x:c r="C331" s="9" t="n">
        <x:v>0</x:v>
      </x:c>
      <x:c r="D331" s="10" t="n">
        <x:v>0</x:v>
      </x:c>
      <x:c r="E331" s="12" t="n">
        <x:v>320</x:v>
      </x:c>
      <x:c r="F331" s="12" t="n">
        <x:v>511.6666666666667</x:v>
      </x:c>
      <x:c r="G331" s="11" t="n">
        <x:v>-0.3745928338762215</x:v>
      </x:c>
      <x:c r="H331" s="7" t="str">
        <x:v>Jul 2025:590 | Aug 2025:480 | Sep 2025:390 | Oct 2025:590 | Nov 2025:390 | Dec 2025:480 | Jan 2026:590 | Feb 2026:720 | Mar 2026:720 | Apr 2026:480 | May 2026:390 | Jun 2026:320</x:v>
      </x:c>
    </x:row>
    <x:row r="332" ht="19" customHeight="1">
      <x:c r="A332" s="7" t="str">
        <x:v>pavc replacement</x:v>
      </x:c>
      <x:c r="B332" s="8" t="n">
        <x:v>0</x:v>
      </x:c>
      <x:c r="C332" s="9" t="n">
        <x:v>0</x:v>
      </x:c>
      <x:c r="D332" s="10" t="n">
        <x:v>0</x:v>
      </x:c>
      <x:c r="E332" s="12" t="n">
        <x:v>0</x:v>
      </x:c>
      <x:c r="F332" s="12" t="n">
        <x:v>0</x:v>
      </x:c>
      <x:c r="G332" s="11" t="n">
        <x:v>0</x:v>
      </x:c>
      <x:c r="H332" s="7" t="str"/>
    </x:row>
    <x:row r="333" ht="19" customHeight="1">
      <x:c r="A333" s="7" t="str">
        <x:v>pavc supplier</x:v>
      </x:c>
      <x:c r="B333" s="8" t="n">
        <x:v>0</x:v>
      </x:c>
      <x:c r="C333" s="9" t="n">
        <x:v>0</x:v>
      </x:c>
      <x:c r="D333" s="10" t="n">
        <x:v>0</x:v>
      </x:c>
      <x:c r="E333" s="12" t="n">
        <x:v>0</x:v>
      </x:c>
      <x:c r="F333" s="12" t="n">
        <x:v>0</x:v>
      </x:c>
      <x:c r="G333" s="11" t="n">
        <x:v>0</x:v>
      </x:c>
      <x:c r="H333" s="7" t="str"/>
    </x:row>
    <x:row r="334" ht="19" customHeight="1">
      <x:c r="A334" s="7" t="str">
        <x:v>pavc parts</x:v>
      </x:c>
      <x:c r="B334" s="8" t="n">
        <x:v>0</x:v>
      </x:c>
      <x:c r="C334" s="9" t="n">
        <x:v>0</x:v>
      </x:c>
      <x:c r="D334" s="10" t="n">
        <x:v>0</x:v>
      </x:c>
      <x:c r="E334" s="12" t="n">
        <x:v>0</x:v>
      </x:c>
      <x:c r="F334" s="12" t="n">
        <x:v>0</x:v>
      </x:c>
      <x:c r="G334" s="11" t="n">
        <x:v>0</x:v>
      </x:c>
      <x:c r="H334" s="7" t="str"/>
    </x:row>
    <x:row r="335" ht="19" customHeight="1">
      <x:c r="A335" s="7" t="str">
        <x:v>pavc seal kit</x:v>
      </x:c>
      <x:c r="B335" s="8" t="n">
        <x:v>0</x:v>
      </x:c>
      <x:c r="C335" s="9" t="n">
        <x:v>0</x:v>
      </x:c>
      <x:c r="D335" s="10" t="n">
        <x:v>0</x:v>
      </x:c>
      <x:c r="E335" s="12" t="n">
        <x:v>0</x:v>
      </x:c>
      <x:c r="F335" s="12" t="n">
        <x:v>0</x:v>
      </x:c>
      <x:c r="G335" s="11" t="n">
        <x:v>0</x:v>
      </x:c>
      <x:c r="H335" s="7" t="str"/>
    </x:row>
    <x:row r="336" ht="19" customHeight="1">
      <x:c r="A336" s="7" t="str">
        <x:v>pavc equivalent</x:v>
      </x:c>
      <x:c r="B336" s="8" t="n">
        <x:v>0</x:v>
      </x:c>
      <x:c r="C336" s="9" t="n">
        <x:v>0</x:v>
      </x:c>
      <x:c r="D336" s="10" t="n">
        <x:v>0</x:v>
      </x:c>
      <x:c r="E336" s="12" t="n">
        <x:v>0</x:v>
      </x:c>
      <x:c r="F336" s="12" t="n">
        <x:v>0</x:v>
      </x:c>
      <x:c r="G336" s="11" t="n">
        <x:v>0</x:v>
      </x:c>
      <x:c r="H336" s="7" t="str"/>
    </x:row>
    <x:row r="337" ht="19" customHeight="1">
      <x:c r="A337" s="7" t="str">
        <x:v>4we 6 d6x/eg24n9k4</x:v>
      </x:c>
      <x:c r="B337" s="8" t="n">
        <x:v>0</x:v>
      </x:c>
      <x:c r="C337" s="9" t="n">
        <x:v>0</x:v>
      </x:c>
      <x:c r="D337" s="10" t="n">
        <x:v>0</x:v>
      </x:c>
      <x:c r="E337" s="12" t="n">
        <x:v>0</x:v>
      </x:c>
      <x:c r="F337" s="12" t="n">
        <x:v>0</x:v>
      </x:c>
      <x:c r="G337" s="11" t="n">
        <x:v>0</x:v>
      </x:c>
      <x:c r="H337" s="7" t="str"/>
    </x:row>
    <x:row r="338" ht="19" customHeight="1">
      <x:c r="A338" s="7" t="str">
        <x:v>4we 6 d6x/eg24n9k4 replacement</x:v>
      </x:c>
      <x:c r="B338" s="8" t="n">
        <x:v>0</x:v>
      </x:c>
      <x:c r="C338" s="9" t="n">
        <x:v>0</x:v>
      </x:c>
      <x:c r="D338" s="10" t="n">
        <x:v>0</x:v>
      </x:c>
      <x:c r="E338" s="12" t="n">
        <x:v>0</x:v>
      </x:c>
      <x:c r="F338" s="12" t="n">
        <x:v>0</x:v>
      </x:c>
      <x:c r="G338" s="11" t="n">
        <x:v>0</x:v>
      </x:c>
      <x:c r="H338" s="7" t="str"/>
    </x:row>
    <x:row r="339" ht="19" customHeight="1">
      <x:c r="A339" s="7" t="str">
        <x:v>4we 6 d6x/eg24n9k4 seal kit</x:v>
      </x:c>
      <x:c r="B339" s="8" t="n">
        <x:v>0</x:v>
      </x:c>
      <x:c r="C339" s="9" t="n">
        <x:v>0</x:v>
      </x:c>
      <x:c r="D339" s="10" t="n">
        <x:v>0</x:v>
      </x:c>
      <x:c r="E339" s="12" t="n">
        <x:v>0</x:v>
      </x:c>
      <x:c r="F339" s="12" t="n">
        <x:v>0</x:v>
      </x:c>
      <x:c r="G339" s="11" t="n">
        <x:v>0</x:v>
      </x:c>
      <x:c r="H339" s="7" t="str"/>
    </x:row>
    <x:row r="340" ht="19" customHeight="1">
      <x:c r="A340" s="7" t="str">
        <x:v>4we 6 d6x/eg24n9k4 supplier</x:v>
      </x:c>
      <x:c r="B340" s="8" t="n">
        <x:v>0</x:v>
      </x:c>
      <x:c r="C340" s="9" t="n">
        <x:v>0</x:v>
      </x:c>
      <x:c r="D340" s="10" t="n">
        <x:v>0</x:v>
      </x:c>
      <x:c r="E340" s="12" t="n">
        <x:v>0</x:v>
      </x:c>
      <x:c r="F340" s="12" t="n">
        <x:v>0</x:v>
      </x:c>
      <x:c r="G340" s="11" t="n">
        <x:v>0</x:v>
      </x:c>
      <x:c r="H340" s="7" t="str"/>
    </x:row>
    <x:row r="341" ht="19" customHeight="1">
      <x:c r="A341" s="7" t="str">
        <x:v>4we 10 e5x/eg24n9k4/m</x:v>
      </x:c>
      <x:c r="B341" s="8" t="n">
        <x:v>0</x:v>
      </x:c>
      <x:c r="C341" s="9" t="n">
        <x:v>0</x:v>
      </x:c>
      <x:c r="D341" s="10" t="n">
        <x:v>0</x:v>
      </x:c>
      <x:c r="E341" s="12" t="n">
        <x:v>0</x:v>
      </x:c>
      <x:c r="F341" s="12" t="n">
        <x:v>0</x:v>
      </x:c>
      <x:c r="G341" s="11" t="n">
        <x:v>0</x:v>
      </x:c>
      <x:c r="H341" s="7" t="str"/>
    </x:row>
    <x:row r="342" ht="19" customHeight="1">
      <x:c r="A342" s="7" t="str">
        <x:v>4we 10 e5x/eg24n9k4/m replacement</x:v>
      </x:c>
      <x:c r="B342" s="8" t="n">
        <x:v>0</x:v>
      </x:c>
      <x:c r="C342" s="9" t="n">
        <x:v>0</x:v>
      </x:c>
      <x:c r="D342" s="10" t="n">
        <x:v>0</x:v>
      </x:c>
      <x:c r="E342" s="12" t="n">
        <x:v>0</x:v>
      </x:c>
      <x:c r="F342" s="12" t="n">
        <x:v>0</x:v>
      </x:c>
      <x:c r="G342" s="11" t="n">
        <x:v>0</x:v>
      </x:c>
      <x:c r="H342" s="7" t="str"/>
    </x:row>
    <x:row r="343" ht="19" customHeight="1">
      <x:c r="A343" s="7" t="str">
        <x:v>4we 10 e5x/eg24n9k4/m seal kit</x:v>
      </x:c>
      <x:c r="B343" s="8" t="n">
        <x:v>0</x:v>
      </x:c>
      <x:c r="C343" s="9" t="n">
        <x:v>0</x:v>
      </x:c>
      <x:c r="D343" s="10" t="n">
        <x:v>0</x:v>
      </x:c>
      <x:c r="E343" s="12" t="n">
        <x:v>0</x:v>
      </x:c>
      <x:c r="F343" s="12" t="n">
        <x:v>0</x:v>
      </x:c>
      <x:c r="G343" s="11" t="n">
        <x:v>0</x:v>
      </x:c>
      <x:c r="H343" s="7" t="str"/>
    </x:row>
    <x:row r="344" ht="19" customHeight="1">
      <x:c r="A344" s="7" t="str">
        <x:v>4we 10 e5x/eg24n9k4/m supplier</x:v>
      </x:c>
      <x:c r="B344" s="8" t="n">
        <x:v>0</x:v>
      </x:c>
      <x:c r="C344" s="9" t="n">
        <x:v>0</x:v>
      </x:c>
      <x:c r="D344" s="10" t="n">
        <x:v>0</x:v>
      </x:c>
      <x:c r="E344" s="12" t="n">
        <x:v>0</x:v>
      </x:c>
      <x:c r="F344" s="12" t="n">
        <x:v>0</x:v>
      </x:c>
      <x:c r="G344" s="11" t="n">
        <x:v>0</x:v>
      </x:c>
      <x:c r="H344" s="7" t="str"/>
    </x:row>
    <x:row r="345" ht="19" customHeight="1">
      <x:c r="A345" s="7" t="str">
        <x:v>a10vso 18 drg/31r-vpa12n00</x:v>
      </x:c>
      <x:c r="B345" s="8" t="n">
        <x:v>0</x:v>
      </x:c>
      <x:c r="C345" s="9" t="n">
        <x:v>0</x:v>
      </x:c>
      <x:c r="D345" s="10" t="n">
        <x:v>0</x:v>
      </x:c>
      <x:c r="E345" s="12" t="n">
        <x:v>0</x:v>
      </x:c>
      <x:c r="F345" s="12" t="n">
        <x:v>0</x:v>
      </x:c>
      <x:c r="G345" s="11" t="n">
        <x:v>0</x:v>
      </x:c>
      <x:c r="H345" s="7" t="str"/>
    </x:row>
    <x:row r="346" ht="19" customHeight="1">
      <x:c r="A346" s="7" t="str">
        <x:v>a10vso 18 drg/31r-vpa12n00 replacement</x:v>
      </x:c>
      <x:c r="B346" s="8" t="n">
        <x:v>0</x:v>
      </x:c>
      <x:c r="C346" s="9" t="n">
        <x:v>0</x:v>
      </x:c>
      <x:c r="D346" s="10" t="n">
        <x:v>0</x:v>
      </x:c>
      <x:c r="E346" s="12" t="n">
        <x:v>0</x:v>
      </x:c>
      <x:c r="F346" s="12" t="n">
        <x:v>0</x:v>
      </x:c>
      <x:c r="G346" s="11" t="n">
        <x:v>0</x:v>
      </x:c>
      <x:c r="H346" s="7" t="str"/>
    </x:row>
    <x:row r="347" ht="19" customHeight="1">
      <x:c r="A347" s="7" t="str">
        <x:v>a10vso 18 drg/31r-vpa12n00 seal kit</x:v>
      </x:c>
      <x:c r="B347" s="8" t="n">
        <x:v>0</x:v>
      </x:c>
      <x:c r="C347" s="9" t="n">
        <x:v>0</x:v>
      </x:c>
      <x:c r="D347" s="10" t="n">
        <x:v>0</x:v>
      </x:c>
      <x:c r="E347" s="12" t="n">
        <x:v>0</x:v>
      </x:c>
      <x:c r="F347" s="12" t="n">
        <x:v>0</x:v>
      </x:c>
      <x:c r="G347" s="11" t="n">
        <x:v>0</x:v>
      </x:c>
      <x:c r="H347" s="7" t="str"/>
    </x:row>
    <x:row r="348" ht="19" customHeight="1">
      <x:c r="A348" s="7" t="str">
        <x:v>a10vso 18 drg/31r-vpa12n00 supplier</x:v>
      </x:c>
      <x:c r="B348" s="8" t="n">
        <x:v>0</x:v>
      </x:c>
      <x:c r="C348" s="9" t="n">
        <x:v>0</x:v>
      </x:c>
      <x:c r="D348" s="10" t="n">
        <x:v>0</x:v>
      </x:c>
      <x:c r="E348" s="12" t="n">
        <x:v>0</x:v>
      </x:c>
      <x:c r="F348" s="12" t="n">
        <x:v>0</x:v>
      </x:c>
      <x:c r="G348" s="11" t="n">
        <x:v>0</x:v>
      </x:c>
      <x:c r="H348" s="7" t="str"/>
    </x:row>
    <x:row r="349" ht="19" customHeight="1">
      <x:c r="A349" s="7" t="str">
        <x:v>dg4v-3-6c-m-u-h7-60</x:v>
      </x:c>
      <x:c r="B349" s="8" t="n">
        <x:v>10</x:v>
      </x:c>
      <x:c r="C349" s="9" t="n">
        <x:v>0</x:v>
      </x:c>
      <x:c r="D349" s="10" t="n">
        <x:v>0</x:v>
      </x:c>
      <x:c r="E349" s="12" t="n">
        <x:v>0</x:v>
      </x:c>
      <x:c r="F349" s="12" t="n">
        <x:v>8.333333333333334</x:v>
      </x:c>
      <x:c r="G349" s="11" t="n">
        <x:v>-1</x:v>
      </x:c>
      <x:c r="H349" s="7" t="str">
        <x:v>Jul 2025:10 | Aug 2025:0 | Sep 2025:10 | Oct 2025:10 | Nov 2025:10 | Dec 2025:10 | Jan 2026:10 | Feb 2026:10 | Mar 2026:10 | Apr 2026:10 | May 2026:10 | Jun 2026:0</x:v>
      </x:c>
    </x:row>
    <x:row r="350" ht="19" customHeight="1">
      <x:c r="A350" s="7" t="str">
        <x:v>dg4v-3-6c-m-u-h7-60 replacement</x:v>
      </x:c>
      <x:c r="B350" s="8" t="n">
        <x:v>0</x:v>
      </x:c>
      <x:c r="C350" s="9" t="n">
        <x:v>0</x:v>
      </x:c>
      <x:c r="D350" s="10" t="n">
        <x:v>0</x:v>
      </x:c>
      <x:c r="E350" s="12" t="n">
        <x:v>0</x:v>
      </x:c>
      <x:c r="F350" s="12" t="n">
        <x:v>0</x:v>
      </x:c>
      <x:c r="G350" s="11" t="n">
        <x:v>0</x:v>
      </x:c>
      <x:c r="H350" s="7" t="str"/>
    </x:row>
    <x:row r="351" ht="19" customHeight="1">
      <x:c r="A351" s="7" t="str">
        <x:v>dg4v-3-6c-m-u-h7-60 seal kit</x:v>
      </x:c>
      <x:c r="B351" s="8" t="n">
        <x:v>0</x:v>
      </x:c>
      <x:c r="C351" s="9" t="n">
        <x:v>0</x:v>
      </x:c>
      <x:c r="D351" s="10" t="n">
        <x:v>0</x:v>
      </x:c>
      <x:c r="E351" s="12" t="n">
        <x:v>0</x:v>
      </x:c>
      <x:c r="F351" s="12" t="n">
        <x:v>0</x:v>
      </x:c>
      <x:c r="G351" s="11" t="n">
        <x:v>0</x:v>
      </x:c>
      <x:c r="H351" s="7" t="str"/>
    </x:row>
    <x:row r="352" ht="19" customHeight="1">
      <x:c r="A352" s="7" t="str">
        <x:v>dg4v-3-6c-m-u-h7-60 supplier</x:v>
      </x:c>
      <x:c r="B352" s="8" t="n">
        <x:v>0</x:v>
      </x:c>
      <x:c r="C352" s="9" t="n">
        <x:v>0</x:v>
      </x:c>
      <x:c r="D352" s="10" t="n">
        <x:v>0</x:v>
      </x:c>
      <x:c r="E352" s="12" t="n">
        <x:v>0</x:v>
      </x:c>
      <x:c r="F352" s="12" t="n">
        <x:v>0</x:v>
      </x:c>
      <x:c r="G352" s="11" t="n">
        <x:v>0</x:v>
      </x:c>
      <x:c r="H352" s="7" t="str"/>
    </x:row>
    <x:row r="353" ht="19" customHeight="1">
      <x:c r="A353" s="7" t="str">
        <x:v>d1vw020bnjw</x:v>
      </x:c>
      <x:c r="B353" s="8" t="n">
        <x:v>40</x:v>
      </x:c>
      <x:c r="C353" s="9" t="n">
        <x:v>2.09</x:v>
      </x:c>
      <x:c r="D353" s="10" t="n">
        <x:v>1</x:v>
      </x:c>
      <x:c r="E353" s="12" t="n">
        <x:v>40</x:v>
      </x:c>
      <x:c r="F353" s="12" t="n">
        <x:v>37.5</x:v>
      </x:c>
      <x:c r="G353" s="11" t="n">
        <x:v>0.06666666666666667</x:v>
      </x:c>
      <x:c r="H353" s="7" t="str">
        <x:v>Jul 2025:50 | Aug 2025:30 | Sep 2025:40 | Oct 2025:50 | Nov 2025:50 | Dec 2025:30 | Jan 2026:30 | Feb 2026:40 | Mar 2026:30 | Apr 2026:30 | May 2026:30 | Jun 2026:40</x:v>
      </x:c>
    </x:row>
    <x:row r="354" ht="19" customHeight="1">
      <x:c r="A354" s="7" t="str">
        <x:v>d1vw020bnjw replacement</x:v>
      </x:c>
      <x:c r="B354" s="8" t="n">
        <x:v>0</x:v>
      </x:c>
      <x:c r="C354" s="9" t="n">
        <x:v>0</x:v>
      </x:c>
      <x:c r="D354" s="10" t="n">
        <x:v>0</x:v>
      </x:c>
      <x:c r="E354" s="12" t="n">
        <x:v>0</x:v>
      </x:c>
      <x:c r="F354" s="12" t="n">
        <x:v>0</x:v>
      </x:c>
      <x:c r="G354" s="11" t="n">
        <x:v>0</x:v>
      </x:c>
      <x:c r="H354" s="7" t="str"/>
    </x:row>
    <x:row r="355" ht="19" customHeight="1">
      <x:c r="A355" s="7" t="str">
        <x:v>d1vw020bnjw seal kit</x:v>
      </x:c>
      <x:c r="B355" s="8" t="n">
        <x:v>0</x:v>
      </x:c>
      <x:c r="C355" s="9" t="n">
        <x:v>0</x:v>
      </x:c>
      <x:c r="D355" s="10" t="n">
        <x:v>0</x:v>
      </x:c>
      <x:c r="E355" s="12" t="n">
        <x:v>0</x:v>
      </x:c>
      <x:c r="F355" s="12" t="n">
        <x:v>0</x:v>
      </x:c>
      <x:c r="G355" s="11" t="n">
        <x:v>0</x:v>
      </x:c>
      <x:c r="H355" s="7" t="str"/>
    </x:row>
    <x:row r="356" ht="19" customHeight="1">
      <x:c r="A356" s="7" t="str">
        <x:v>d1vw020bnjw supplier</x:v>
      </x:c>
      <x:c r="B356" s="8" t="n">
        <x:v>0</x:v>
      </x:c>
      <x:c r="C356" s="9" t="n">
        <x:v>0</x:v>
      </x:c>
      <x:c r="D356" s="10" t="n">
        <x:v>0</x:v>
      </x:c>
      <x:c r="E356" s="12" t="n">
        <x:v>0</x:v>
      </x:c>
      <x:c r="F356" s="12" t="n">
        <x:v>0</x:v>
      </x:c>
      <x:c r="G356" s="11" t="n">
        <x:v>0</x:v>
      </x:c>
      <x:c r="H356" s="7" t="str"/>
    </x:row>
    <x:row r="357" ht="19" customHeight="1">
      <x:c r="A357" s="7" t="str">
        <x:v>a10vo28dr/31r-psc61k40</x:v>
      </x:c>
      <x:c r="B357" s="8" t="n">
        <x:v>0</x:v>
      </x:c>
      <x:c r="C357" s="9" t="n">
        <x:v>0</x:v>
      </x:c>
      <x:c r="D357" s="10" t="n">
        <x:v>0</x:v>
      </x:c>
      <x:c r="E357" s="12" t="n">
        <x:v>0</x:v>
      </x:c>
      <x:c r="F357" s="12" t="n">
        <x:v>0</x:v>
      </x:c>
      <x:c r="G357" s="11" t="n">
        <x:v>0</x:v>
      </x:c>
      <x:c r="H357" s="7" t="str"/>
    </x:row>
    <x:row r="358" ht="19" customHeight="1">
      <x:c r="A358" s="7" t="str">
        <x:v>a10vo28dr/31r-psc61k40 replacement</x:v>
      </x:c>
      <x:c r="B358" s="8" t="n">
        <x:v>0</x:v>
      </x:c>
      <x:c r="C358" s="9" t="n">
        <x:v>0</x:v>
      </x:c>
      <x:c r="D358" s="10" t="n">
        <x:v>0</x:v>
      </x:c>
      <x:c r="E358" s="12" t="n">
        <x:v>0</x:v>
      </x:c>
      <x:c r="F358" s="12" t="n">
        <x:v>0</x:v>
      </x:c>
      <x:c r="G358" s="11" t="n">
        <x:v>0</x:v>
      </x:c>
      <x:c r="H358" s="7" t="str"/>
    </x:row>
    <x:row r="359" ht="19" customHeight="1">
      <x:c r="A359" s="7" t="str">
        <x:v>a10vo28dr/31r-psc61k40 seal kit</x:v>
      </x:c>
      <x:c r="B359" s="8" t="n">
        <x:v>0</x:v>
      </x:c>
      <x:c r="C359" s="9" t="n">
        <x:v>0</x:v>
      </x:c>
      <x:c r="D359" s="10" t="n">
        <x:v>0</x:v>
      </x:c>
      <x:c r="E359" s="12" t="n">
        <x:v>0</x:v>
      </x:c>
      <x:c r="F359" s="12" t="n">
        <x:v>0</x:v>
      </x:c>
      <x:c r="G359" s="11" t="n">
        <x:v>0</x:v>
      </x:c>
      <x:c r="H359" s="7" t="str"/>
    </x:row>
    <x:row r="360" ht="19" customHeight="1">
      <x:c r="A360" s="7" t="str">
        <x:v>a10vo28dr/31r-psc61k40 supplier</x:v>
      </x:c>
      <x:c r="B360" s="8" t="n">
        <x:v>0</x:v>
      </x:c>
      <x:c r="C360" s="9" t="n">
        <x:v>0</x:v>
      </x:c>
      <x:c r="D360" s="10" t="n">
        <x:v>0</x:v>
      </x:c>
      <x:c r="E360" s="12" t="n">
        <x:v>0</x:v>
      </x:c>
      <x:c r="F360" s="12" t="n">
        <x:v>0</x:v>
      </x:c>
      <x:c r="G360" s="11" t="n">
        <x:v>0</x:v>
      </x:c>
      <x:c r="H360" s="7" t="str"/>
    </x:row>
    <x:row r="361" ht="19" customHeight="1">
      <x:c r="A361" s="7" t="str">
        <x:v>02-102262</x:v>
      </x:c>
      <x:c r="B361" s="8" t="n">
        <x:v>0</x:v>
      </x:c>
      <x:c r="C361" s="9" t="n">
        <x:v>0</x:v>
      </x:c>
      <x:c r="D361" s="10" t="n">
        <x:v>0</x:v>
      </x:c>
      <x:c r="E361" s="12" t="n">
        <x:v>0</x:v>
      </x:c>
      <x:c r="F361" s="12" t="n">
        <x:v>0</x:v>
      </x:c>
      <x:c r="G361" s="11" t="n">
        <x:v>0</x:v>
      </x:c>
      <x:c r="H361" s="7" t="str"/>
    </x:row>
    <x:row r="362" ht="19" customHeight="1">
      <x:c r="A362" s="7" t="str">
        <x:v>02-102262 replacement</x:v>
      </x:c>
      <x:c r="B362" s="8" t="n">
        <x:v>0</x:v>
      </x:c>
      <x:c r="C362" s="9" t="n">
        <x:v>0</x:v>
      </x:c>
      <x:c r="D362" s="10" t="n">
        <x:v>0</x:v>
      </x:c>
      <x:c r="E362" s="12" t="n">
        <x:v>0</x:v>
      </x:c>
      <x:c r="F362" s="12" t="n">
        <x:v>0</x:v>
      </x:c>
      <x:c r="G362" s="11" t="n">
        <x:v>0</x:v>
      </x:c>
      <x:c r="H362" s="7" t="str"/>
    </x:row>
    <x:row r="363" ht="19" customHeight="1">
      <x:c r="A363" s="7" t="str">
        <x:v>02-102262 seal kit</x:v>
      </x:c>
      <x:c r="B363" s="8" t="n">
        <x:v>0</x:v>
      </x:c>
      <x:c r="C363" s="9" t="n">
        <x:v>0</x:v>
      </x:c>
      <x:c r="D363" s="10" t="n">
        <x:v>0</x:v>
      </x:c>
      <x:c r="E363" s="12" t="n">
        <x:v>0</x:v>
      </x:c>
      <x:c r="F363" s="12" t="n">
        <x:v>0</x:v>
      </x:c>
      <x:c r="G363" s="11" t="n">
        <x:v>0</x:v>
      </x:c>
      <x:c r="H363" s="7" t="str"/>
    </x:row>
    <x:row r="364" ht="19" customHeight="1">
      <x:c r="A364" s="7" t="str">
        <x:v>02-102262 supplier</x:v>
      </x:c>
      <x:c r="B364" s="8" t="n">
        <x:v>0</x:v>
      </x:c>
      <x:c r="C364" s="9" t="n">
        <x:v>0</x:v>
      </x:c>
      <x:c r="D364" s="10" t="n">
        <x:v>0</x:v>
      </x:c>
      <x:c r="E364" s="12" t="n">
        <x:v>0</x:v>
      </x:c>
      <x:c r="F364" s="12" t="n">
        <x:v>0</x:v>
      </x:c>
      <x:c r="G364" s="11" t="n">
        <x:v>0</x:v>
      </x:c>
      <x:c r="H364" s="7" t="str"/>
    </x:row>
    <x:row r="365" ht="19" customHeight="1">
      <x:c r="A365" s="7" t="str">
        <x:v>02-102264</x:v>
      </x:c>
      <x:c r="B365" s="8" t="n">
        <x:v>0</x:v>
      </x:c>
      <x:c r="C365" s="9" t="n">
        <x:v>0</x:v>
      </x:c>
      <x:c r="D365" s="10" t="n">
        <x:v>0</x:v>
      </x:c>
      <x:c r="E365" s="12" t="n">
        <x:v>0</x:v>
      </x:c>
      <x:c r="F365" s="12" t="n">
        <x:v>0</x:v>
      </x:c>
      <x:c r="G365" s="11" t="n">
        <x:v>0</x:v>
      </x:c>
      <x:c r="H365" s="7" t="str"/>
    </x:row>
    <x:row r="366" ht="19" customHeight="1">
      <x:c r="A366" s="7" t="str">
        <x:v>02-102264 replacement</x:v>
      </x:c>
      <x:c r="B366" s="8" t="n">
        <x:v>0</x:v>
      </x:c>
      <x:c r="C366" s="9" t="n">
        <x:v>0</x:v>
      </x:c>
      <x:c r="D366" s="10" t="n">
        <x:v>0</x:v>
      </x:c>
      <x:c r="E366" s="12" t="n">
        <x:v>0</x:v>
      </x:c>
      <x:c r="F366" s="12" t="n">
        <x:v>0</x:v>
      </x:c>
      <x:c r="G366" s="11" t="n">
        <x:v>0</x:v>
      </x:c>
      <x:c r="H366" s="7" t="str"/>
    </x:row>
    <x:row r="367" ht="19" customHeight="1">
      <x:c r="A367" s="7" t="str">
        <x:v>02-102264 seal kit</x:v>
      </x:c>
      <x:c r="B367" s="8" t="n">
        <x:v>0</x:v>
      </x:c>
      <x:c r="C367" s="9" t="n">
        <x:v>0</x:v>
      </x:c>
      <x:c r="D367" s="10" t="n">
        <x:v>0</x:v>
      </x:c>
      <x:c r="E367" s="12" t="n">
        <x:v>0</x:v>
      </x:c>
      <x:c r="F367" s="12" t="n">
        <x:v>0</x:v>
      </x:c>
      <x:c r="G367" s="11" t="n">
        <x:v>0</x:v>
      </x:c>
      <x:c r="H367" s="7" t="str"/>
    </x:row>
    <x:row r="368" ht="19" customHeight="1">
      <x:c r="A368" s="7" t="str">
        <x:v>02-102264 supplier</x:v>
      </x:c>
      <x:c r="B368" s="8" t="n">
        <x:v>0</x:v>
      </x:c>
      <x:c r="C368" s="9" t="n">
        <x:v>0</x:v>
      </x:c>
      <x:c r="D368" s="10" t="n">
        <x:v>0</x:v>
      </x:c>
      <x:c r="E368" s="12" t="n">
        <x:v>0</x:v>
      </x:c>
      <x:c r="F368" s="12" t="n">
        <x:v>0</x:v>
      </x:c>
      <x:c r="G368" s="11" t="n">
        <x:v>0</x:v>
      </x:c>
      <x:c r="H368" s="7" t="str"/>
    </x:row>
    <x:row r="369" ht="19" customHeight="1">
      <x:c r="A369" s="7" t="str">
        <x:v>rsap2d12</x:v>
      </x:c>
      <x:c r="B369" s="8" t="n">
        <x:v>0</x:v>
      </x:c>
      <x:c r="C369" s="9" t="n">
        <x:v>0</x:v>
      </x:c>
      <x:c r="D369" s="10" t="n">
        <x:v>0</x:v>
      </x:c>
      <x:c r="E369" s="12" t="n">
        <x:v>0</x:v>
      </x:c>
      <x:c r="F369" s="12" t="n">
        <x:v>0</x:v>
      </x:c>
      <x:c r="G369" s="11" t="n">
        <x:v>0</x:v>
      </x:c>
      <x:c r="H369" s="7" t="str"/>
    </x:row>
    <x:row r="370" ht="19" customHeight="1">
      <x:c r="A370" s="7" t="str">
        <x:v>rsap2d12 replacement</x:v>
      </x:c>
      <x:c r="B370" s="8" t="n">
        <x:v>0</x:v>
      </x:c>
      <x:c r="C370" s="9" t="n">
        <x:v>0</x:v>
      </x:c>
      <x:c r="D370" s="10" t="n">
        <x:v>0</x:v>
      </x:c>
      <x:c r="E370" s="12" t="n">
        <x:v>0</x:v>
      </x:c>
      <x:c r="F370" s="12" t="n">
        <x:v>0</x:v>
      </x:c>
      <x:c r="G370" s="11" t="n">
        <x:v>0</x:v>
      </x:c>
      <x:c r="H370" s="7" t="str"/>
    </x:row>
    <x:row r="371" ht="19" customHeight="1">
      <x:c r="A371" s="7" t="str">
        <x:v>rsap2d12 seal kit</x:v>
      </x:c>
      <x:c r="B371" s="8" t="n">
        <x:v>0</x:v>
      </x:c>
      <x:c r="C371" s="9" t="n">
        <x:v>0</x:v>
      </x:c>
      <x:c r="D371" s="10" t="n">
        <x:v>0</x:v>
      </x:c>
      <x:c r="E371" s="12" t="n">
        <x:v>0</x:v>
      </x:c>
      <x:c r="F371" s="12" t="n">
        <x:v>0</x:v>
      </x:c>
      <x:c r="G371" s="11" t="n">
        <x:v>0</x:v>
      </x:c>
      <x:c r="H371" s="7" t="str"/>
    </x:row>
    <x:row r="372" ht="19" customHeight="1">
      <x:c r="A372" s="7" t="str">
        <x:v>rsap2d12 supplier</x:v>
      </x:c>
      <x:c r="B372" s="8" t="n">
        <x:v>0</x:v>
      </x:c>
      <x:c r="C372" s="9" t="n">
        <x:v>0</x:v>
      </x:c>
      <x:c r="D372" s="10" t="n">
        <x:v>0</x:v>
      </x:c>
      <x:c r="E372" s="12" t="n">
        <x:v>0</x:v>
      </x:c>
      <x:c r="F372" s="12" t="n">
        <x:v>0</x:v>
      </x:c>
      <x:c r="G372" s="11" t="n">
        <x:v>0</x:v>
      </x:c>
      <x:c r="H372" s="7" t="str"/>
    </x:row>
    <x:row r="373" ht="19" customHeight="1">
      <x:c r="A373" s="7" t="str">
        <x:v>r909152493</x:v>
      </x:c>
      <x:c r="B373" s="8" t="n">
        <x:v>0</x:v>
      </x:c>
      <x:c r="C373" s="9" t="n">
        <x:v>0</x:v>
      </x:c>
      <x:c r="D373" s="10" t="n">
        <x:v>0</x:v>
      </x:c>
      <x:c r="E373" s="12" t="n">
        <x:v>0</x:v>
      </x:c>
      <x:c r="F373" s="12" t="n">
        <x:v>0</x:v>
      </x:c>
      <x:c r="G373" s="11" t="n">
        <x:v>0</x:v>
      </x:c>
      <x:c r="H373" s="7" t="str"/>
    </x:row>
    <x:row r="374" ht="19" customHeight="1">
      <x:c r="A374" s="7" t="str">
        <x:v>r909152493 replacement</x:v>
      </x:c>
      <x:c r="B374" s="8" t="n">
        <x:v>0</x:v>
      </x:c>
      <x:c r="C374" s="9" t="n">
        <x:v>0</x:v>
      </x:c>
      <x:c r="D374" s="10" t="n">
        <x:v>0</x:v>
      </x:c>
      <x:c r="E374" s="12" t="n">
        <x:v>0</x:v>
      </x:c>
      <x:c r="F374" s="12" t="n">
        <x:v>0</x:v>
      </x:c>
      <x:c r="G374" s="11" t="n">
        <x:v>0</x:v>
      </x:c>
      <x:c r="H374" s="7" t="str"/>
    </x:row>
    <x:row r="375" ht="19" customHeight="1">
      <x:c r="A375" s="7" t="str">
        <x:v>r909152493 seal kit</x:v>
      </x:c>
      <x:c r="B375" s="8" t="n">
        <x:v>0</x:v>
      </x:c>
      <x:c r="C375" s="9" t="n">
        <x:v>0</x:v>
      </x:c>
      <x:c r="D375" s="10" t="n">
        <x:v>0</x:v>
      </x:c>
      <x:c r="E375" s="12" t="n">
        <x:v>0</x:v>
      </x:c>
      <x:c r="F375" s="12" t="n">
        <x:v>0</x:v>
      </x:c>
      <x:c r="G375" s="11" t="n">
        <x:v>0</x:v>
      </x:c>
      <x:c r="H375" s="7" t="str"/>
    </x:row>
    <x:row r="376" ht="19" customHeight="1">
      <x:c r="A376" s="7" t="str">
        <x:v>r909152493 supplier</x:v>
      </x:c>
      <x:c r="B376" s="8" t="n">
        <x:v>0</x:v>
      </x:c>
      <x:c r="C376" s="9" t="n">
        <x:v>0</x:v>
      </x:c>
      <x:c r="D376" s="10" t="n">
        <x:v>0</x:v>
      </x:c>
      <x:c r="E376" s="12" t="n">
        <x:v>0</x:v>
      </x:c>
      <x:c r="F376" s="12" t="n">
        <x:v>0</x:v>
      </x:c>
      <x:c r="G376" s="11" t="n">
        <x:v>0</x:v>
      </x:c>
      <x:c r="H376" s="7" t="str"/>
    </x:row>
    <x:row r="377" ht="19" customHeight="1">
      <x:c r="A377" s="7" t="str">
        <x:v>r910185973</x:v>
      </x:c>
      <x:c r="B377" s="8" t="n">
        <x:v>0</x:v>
      </x:c>
      <x:c r="C377" s="9" t="n">
        <x:v>0</x:v>
      </x:c>
      <x:c r="D377" s="10" t="n">
        <x:v>0</x:v>
      </x:c>
      <x:c r="E377" s="12" t="n">
        <x:v>0</x:v>
      </x:c>
      <x:c r="F377" s="12" t="n">
        <x:v>0</x:v>
      </x:c>
      <x:c r="G377" s="11" t="n">
        <x:v>0</x:v>
      </x:c>
      <x:c r="H377" s="7" t="str"/>
    </x:row>
    <x:row r="378" ht="19" customHeight="1">
      <x:c r="A378" s="7" t="str">
        <x:v>r910185973 replacement</x:v>
      </x:c>
      <x:c r="B378" s="8" t="n">
        <x:v>0</x:v>
      </x:c>
      <x:c r="C378" s="9" t="n">
        <x:v>0</x:v>
      </x:c>
      <x:c r="D378" s="10" t="n">
        <x:v>0</x:v>
      </x:c>
      <x:c r="E378" s="12" t="n">
        <x:v>0</x:v>
      </x:c>
      <x:c r="F378" s="12" t="n">
        <x:v>0</x:v>
      </x:c>
      <x:c r="G378" s="11" t="n">
        <x:v>0</x:v>
      </x:c>
      <x:c r="H378" s="7" t="str"/>
    </x:row>
    <x:row r="379" ht="19" customHeight="1">
      <x:c r="A379" s="7" t="str">
        <x:v>r910185973 seal kit</x:v>
      </x:c>
      <x:c r="B379" s="8" t="n">
        <x:v>0</x:v>
      </x:c>
      <x:c r="C379" s="9" t="n">
        <x:v>0</x:v>
      </x:c>
      <x:c r="D379" s="10" t="n">
        <x:v>0</x:v>
      </x:c>
      <x:c r="E379" s="12" t="n">
        <x:v>0</x:v>
      </x:c>
      <x:c r="F379" s="12" t="n">
        <x:v>0</x:v>
      </x:c>
      <x:c r="G379" s="11" t="n">
        <x:v>0</x:v>
      </x:c>
      <x:c r="H379" s="7" t="str"/>
    </x:row>
    <x:row r="380" ht="19" customHeight="1">
      <x:c r="A380" s="7" t="str">
        <x:v>r910185973 supplier</x:v>
      </x:c>
      <x:c r="B380" s="8" t="n">
        <x:v>0</x:v>
      </x:c>
      <x:c r="C380" s="9" t="n">
        <x:v>0</x:v>
      </x:c>
      <x:c r="D380" s="10" t="n">
        <x:v>0</x:v>
      </x:c>
      <x:c r="E380" s="12" t="n">
        <x:v>0</x:v>
      </x:c>
      <x:c r="F380" s="12" t="n">
        <x:v>0</x:v>
      </x:c>
      <x:c r="G380" s="11" t="n">
        <x:v>0</x:v>
      </x:c>
      <x:c r="H380" s="7" t="str"/>
    </x:row>
    <x:row r="381" ht="19" customHeight="1">
      <x:c r="A381" s="7" t="str">
        <x:v>mcr03</x:v>
      </x:c>
      <x:c r="B381" s="8" t="n">
        <x:v>10</x:v>
      </x:c>
      <x:c r="C381" s="9" t="n">
        <x:v>0</x:v>
      </x:c>
      <x:c r="D381" s="10" t="n">
        <x:v>0.05</x:v>
      </x:c>
      <x:c r="E381" s="12" t="n">
        <x:v>10</x:v>
      </x:c>
      <x:c r="F381" s="12" t="n">
        <x:v>9.166666666666666</x:v>
      </x:c>
      <x:c r="G381" s="11" t="n">
        <x:v>0.09090909090909098</x:v>
      </x:c>
      <x:c r="H381" s="7" t="str">
        <x:v>Jul 2025:10 | Aug 2025:10 | Sep 2025:10 | Oct 2025:10 | Nov 2025:10 | Dec 2025:10 | Jan 2026:10 | Feb 2026:10 | Mar 2026:10 | Apr 2026:10 | May 2026:0 | Jun 2026:10</x:v>
      </x:c>
    </x:row>
    <x:row r="382" ht="19" customHeight="1">
      <x:c r="A382" s="7" t="str">
        <x:v>mcr03 replacement</x:v>
      </x:c>
      <x:c r="B382" s="8" t="n">
        <x:v>0</x:v>
      </x:c>
      <x:c r="C382" s="9" t="n">
        <x:v>0</x:v>
      </x:c>
      <x:c r="D382" s="10" t="n">
        <x:v>0</x:v>
      </x:c>
      <x:c r="E382" s="12" t="n">
        <x:v>0</x:v>
      </x:c>
      <x:c r="F382" s="12" t="n">
        <x:v>0</x:v>
      </x:c>
      <x:c r="G382" s="11" t="n">
        <x:v>0</x:v>
      </x:c>
      <x:c r="H382" s="7" t="str"/>
    </x:row>
    <x:row r="383" ht="19" customHeight="1">
      <x:c r="A383" s="7" t="str">
        <x:v>mcr03 seal kit</x:v>
      </x:c>
      <x:c r="B383" s="8" t="n">
        <x:v>0</x:v>
      </x:c>
      <x:c r="C383" s="9" t="n">
        <x:v>0</x:v>
      </x:c>
      <x:c r="D383" s="10" t="n">
        <x:v>0</x:v>
      </x:c>
      <x:c r="E383" s="12" t="n">
        <x:v>0</x:v>
      </x:c>
      <x:c r="F383" s="12" t="n">
        <x:v>0</x:v>
      </x:c>
      <x:c r="G383" s="11" t="n">
        <x:v>0</x:v>
      </x:c>
      <x:c r="H383" s="7" t="str"/>
    </x:row>
    <x:row r="384" ht="19" customHeight="1">
      <x:c r="A384" s="7" t="str">
        <x:v>mcr03 supplier</x:v>
      </x:c>
      <x:c r="B384" s="8" t="n">
        <x:v>0</x:v>
      </x:c>
      <x:c r="C384" s="9" t="n">
        <x:v>0</x:v>
      </x:c>
      <x:c r="D384" s="10" t="n">
        <x:v>0</x:v>
      </x:c>
      <x:c r="E384" s="12" t="n">
        <x:v>0</x:v>
      </x:c>
      <x:c r="F384" s="12" t="n">
        <x:v>0</x:v>
      </x:c>
      <x:c r="G384" s="11" t="n">
        <x:v>0</x:v>
      </x:c>
      <x:c r="H384" s="7" t="str"/>
    </x:row>
    <x:row r="385" ht="19" customHeight="1">
      <x:c r="A385" s="7" t="str">
        <x:v>169-4883 / 259-0815 / 295-9426 / 153-9426 / 10r3805</x:v>
      </x:c>
      <x:c r="B385" s="8" t="n">
        <x:v>0</x:v>
      </x:c>
      <x:c r="C385" s="9" t="n">
        <x:v>0</x:v>
      </x:c>
      <x:c r="D385" s="10" t="n">
        <x:v>0</x:v>
      </x:c>
      <x:c r="E385" s="12" t="n">
        <x:v>0</x:v>
      </x:c>
      <x:c r="F385" s="12" t="n">
        <x:v>0</x:v>
      </x:c>
      <x:c r="G385" s="11" t="n">
        <x:v>0</x:v>
      </x:c>
      <x:c r="H385" s="7" t="str"/>
    </x:row>
    <x:row r="386" ht="19" customHeight="1">
      <x:c r="A386" s="7" t="str">
        <x:v>169-4883 / 259-0815 / 295-9426 / 153-9426 / 10r3805 replacement</x:v>
      </x:c>
      <x:c r="B386" s="8" t="n">
        <x:v>0</x:v>
      </x:c>
      <x:c r="C386" s="9" t="n">
        <x:v>0</x:v>
      </x:c>
      <x:c r="D386" s="10" t="n">
        <x:v>0</x:v>
      </x:c>
      <x:c r="E386" s="12" t="n">
        <x:v>0</x:v>
      </x:c>
      <x:c r="F386" s="12" t="n">
        <x:v>0</x:v>
      </x:c>
      <x:c r="G386" s="11" t="n">
        <x:v>0</x:v>
      </x:c>
      <x:c r="H386" s="7" t="str"/>
    </x:row>
    <x:row r="387" ht="19" customHeight="1">
      <x:c r="A387" s="7" t="str">
        <x:v>169-4883 / 259-0815 / 295-9426 / 153-9426 / 10r3805 seal kit</x:v>
      </x:c>
      <x:c r="B387" s="8" t="n">
        <x:v>0</x:v>
      </x:c>
      <x:c r="C387" s="9" t="n">
        <x:v>0</x:v>
      </x:c>
      <x:c r="D387" s="10" t="n">
        <x:v>0</x:v>
      </x:c>
      <x:c r="E387" s="12" t="n">
        <x:v>0</x:v>
      </x:c>
      <x:c r="F387" s="12" t="n">
        <x:v>0</x:v>
      </x:c>
      <x:c r="G387" s="11" t="n">
        <x:v>0</x:v>
      </x:c>
      <x:c r="H387" s="7" t="str"/>
    </x:row>
    <x:row r="388" ht="19" customHeight="1">
      <x:c r="A388" s="7" t="str">
        <x:v>169-4883 / 259-0815 / 295-9426 / 153-9426 / 10r3805 supplier</x:v>
      </x:c>
      <x:c r="B388" s="8" t="n">
        <x:v>0</x:v>
      </x:c>
      <x:c r="C388" s="9" t="n">
        <x:v>0</x:v>
      </x:c>
      <x:c r="D388" s="10" t="n">
        <x:v>0</x:v>
      </x:c>
      <x:c r="E388" s="12" t="n">
        <x:v>0</x:v>
      </x:c>
      <x:c r="F388" s="12" t="n">
        <x:v>0</x:v>
      </x:c>
      <x:c r="G388" s="11" t="n">
        <x:v>0</x:v>
      </x:c>
      <x:c r="H388" s="7" t="str"/>
    </x:row>
    <x:row r="389" ht="19" customHeight="1">
      <x:c r="A389" s="7" t="str">
        <x:v>hydraulic pump cross reference</x:v>
      </x:c>
      <x:c r="B389" s="8" t="n">
        <x:v>10</x:v>
      </x:c>
      <x:c r="C389" s="9" t="n">
        <x:v>1.81</x:v>
      </x:c>
      <x:c r="D389" s="10" t="n">
        <x:v>0.76</x:v>
      </x:c>
      <x:c r="E389" s="12" t="n">
        <x:v>20</x:v>
      </x:c>
      <x:c r="F389" s="12" t="n">
        <x:v>12.5</x:v>
      </x:c>
      <x:c r="G389" s="11" t="n">
        <x:v>0.6</x:v>
      </x:c>
      <x:c r="H389" s="7" t="str">
        <x:v>Jul 2025:10 | Aug 2025:10 | Sep 2025:10 | Oct 2025:10 | Nov 2025:10 | Dec 2025:10 | Jan 2026:10 | Feb 2026:10 | Mar 2026:10 | Apr 2026:20 | May 2026:20 | Jun 2026:20</x:v>
      </x:c>
    </x:row>
    <x:row r="390" ht="19" customHeight="1">
      <x:c r="A390" s="7" t="str">
        <x:v>hydraulic motor cross reference</x:v>
      </x:c>
      <x:c r="B390" s="8" t="n">
        <x:v>10</x:v>
      </x:c>
      <x:c r="C390" s="9" t="n">
        <x:v>0</x:v>
      </x:c>
      <x:c r="D390" s="10" t="n">
        <x:v>0.4</x:v>
      </x:c>
      <x:c r="E390" s="12" t="n">
        <x:v>10</x:v>
      </x:c>
      <x:c r="F390" s="12" t="n">
        <x:v>12.5</x:v>
      </x:c>
      <x:c r="G390" s="11" t="n">
        <x:v>-0.2</x:v>
      </x:c>
      <x:c r="H390" s="7" t="str">
        <x:v>Jul 2025:10 | Aug 2025:10 | Sep 2025:20 | Oct 2025:10 | Nov 2025:20 | Dec 2025:10 | Jan 2026:10 | Feb 2026:20 | Mar 2026:10 | Apr 2026:10 | May 2026:10 | Jun 2026:10</x:v>
      </x:c>
    </x:row>
    <x:row r="391" ht="19" customHeight="1">
      <x:c r="A391" s="7" t="str">
        <x:v>hydraulic valve cross reference</x:v>
      </x:c>
      <x:c r="B391" s="8" t="n">
        <x:v>10</x:v>
      </x:c>
      <x:c r="C391" s="9" t="n">
        <x:v>0</x:v>
      </x:c>
      <x:c r="D391" s="10" t="n">
        <x:v>0.24</x:v>
      </x:c>
      <x:c r="E391" s="12" t="n">
        <x:v>10</x:v>
      </x:c>
      <x:c r="F391" s="12" t="n">
        <x:v>10</x:v>
      </x:c>
      <x:c r="G391" s="11" t="n">
        <x:v>0</x:v>
      </x:c>
      <x:c r="H391" s="7" t="str">
        <x:v>Jul 2025:10 | Aug 2025:10 | Sep 2025:10 | Oct 2025:10 | Nov 2025:10 | Dec 2025:10 | Jan 2026:10 | Feb 2026:10 | Mar 2026:10 | Apr 2026:10 | May 2026:10 | Jun 2026:10</x:v>
      </x:c>
    </x:row>
    <x:row r="392" ht="19" customHeight="1">
      <x:c r="A392" s="7" t="str">
        <x:v>hydraulic pump equivalent</x:v>
      </x:c>
      <x:c r="B392" s="8" t="n">
        <x:v>0</x:v>
      </x:c>
      <x:c r="C392" s="9" t="n">
        <x:v>0</x:v>
      </x:c>
      <x:c r="D392" s="10" t="n">
        <x:v>0</x:v>
      </x:c>
      <x:c r="E392" s="12" t="n">
        <x:v>0</x:v>
      </x:c>
      <x:c r="F392" s="12" t="n">
        <x:v>0</x:v>
      </x:c>
      <x:c r="G392" s="11" t="n">
        <x:v>0</x:v>
      </x:c>
      <x:c r="H392" s="7" t="str"/>
    </x:row>
    <x:row r="393" ht="19" customHeight="1">
      <x:c r="A393" s="7" t="str">
        <x:v>hydraulic motor equivalent</x:v>
      </x:c>
      <x:c r="B393" s="8" t="n">
        <x:v>0</x:v>
      </x:c>
      <x:c r="C393" s="9" t="n">
        <x:v>0</x:v>
      </x:c>
      <x:c r="D393" s="10" t="n">
        <x:v>0</x:v>
      </x:c>
      <x:c r="E393" s="12" t="n">
        <x:v>0</x:v>
      </x:c>
      <x:c r="F393" s="12" t="n">
        <x:v>0</x:v>
      </x:c>
      <x:c r="G393" s="11" t="n">
        <x:v>0</x:v>
      </x:c>
      <x:c r="H393" s="7" t="str"/>
    </x:row>
    <x:row r="394" ht="19" customHeight="1">
      <x:c r="A394" s="7" t="str">
        <x:v>hydraulic valve equivalent</x:v>
      </x:c>
      <x:c r="B394" s="8" t="n">
        <x:v>0</x:v>
      </x:c>
      <x:c r="C394" s="9" t="n">
        <x:v>0</x:v>
      </x:c>
      <x:c r="D394" s="10" t="n">
        <x:v>0</x:v>
      </x:c>
      <x:c r="E394" s="12" t="n">
        <x:v>0</x:v>
      </x:c>
      <x:c r="F394" s="12" t="n">
        <x:v>0</x:v>
      </x:c>
      <x:c r="G394" s="11" t="n">
        <x:v>0</x:v>
      </x:c>
      <x:c r="H394" s="7" t="str"/>
    </x:row>
    <x:row r="395" ht="19" customHeight="1">
      <x:c r="A395" s="7" t="str">
        <x:v>obsolete hydraulic pump replacement</x:v>
      </x:c>
      <x:c r="B395" s="8" t="n">
        <x:v>0</x:v>
      </x:c>
      <x:c r="C395" s="9" t="n">
        <x:v>0</x:v>
      </x:c>
      <x:c r="D395" s="10" t="n">
        <x:v>0</x:v>
      </x:c>
      <x:c r="E395" s="12" t="n">
        <x:v>0</x:v>
      </x:c>
      <x:c r="F395" s="12" t="n">
        <x:v>0</x:v>
      </x:c>
      <x:c r="G395" s="11" t="n">
        <x:v>0</x:v>
      </x:c>
      <x:c r="H395" s="7" t="str"/>
    </x:row>
    <x:row r="396" ht="19" customHeight="1">
      <x:c r="A396" s="7" t="str">
        <x:v>obsolete hydraulic valve replacement</x:v>
      </x:c>
      <x:c r="B396" s="8" t="n">
        <x:v>0</x:v>
      </x:c>
      <x:c r="C396" s="9" t="n">
        <x:v>0</x:v>
      </x:c>
      <x:c r="D396" s="10" t="n">
        <x:v>0</x:v>
      </x:c>
      <x:c r="E396" s="12" t="n">
        <x:v>0</x:v>
      </x:c>
      <x:c r="F396" s="12" t="n">
        <x:v>0</x:v>
      </x:c>
      <x:c r="G396" s="11" t="n">
        <x:v>0</x:v>
      </x:c>
      <x:c r="H396" s="7" t="str"/>
    </x:row>
    <x:row r="397" ht="19" customHeight="1">
      <x:c r="A397" s="7" t="str">
        <x:v>discontinued hydraulic pump replacement</x:v>
      </x:c>
      <x:c r="B397" s="8" t="n">
        <x:v>0</x:v>
      </x:c>
      <x:c r="C397" s="9" t="n">
        <x:v>0</x:v>
      </x:c>
      <x:c r="D397" s="10" t="n">
        <x:v>0</x:v>
      </x:c>
      <x:c r="E397" s="12" t="n">
        <x:v>0</x:v>
      </x:c>
      <x:c r="F397" s="12" t="n">
        <x:v>0</x:v>
      </x:c>
      <x:c r="G397" s="11" t="n">
        <x:v>0</x:v>
      </x:c>
      <x:c r="H397" s="7" t="str"/>
    </x:row>
    <x:row r="398" ht="19" customHeight="1">
      <x:c r="A398" s="7" t="str">
        <x:v>aftermarket hydraulic pump supplier</x:v>
      </x:c>
      <x:c r="B398" s="8" t="n">
        <x:v>0</x:v>
      </x:c>
      <x:c r="C398" s="9" t="n">
        <x:v>0</x:v>
      </x:c>
      <x:c r="D398" s="10" t="n">
        <x:v>0</x:v>
      </x:c>
      <x:c r="E398" s="12" t="n">
        <x:v>0</x:v>
      </x:c>
      <x:c r="F398" s="12" t="n">
        <x:v>0</x:v>
      </x:c>
      <x:c r="G398" s="11" t="n">
        <x:v>0</x:v>
      </x:c>
      <x:c r="H398" s="7" t="str"/>
    </x:row>
    <x:row r="399" ht="19" customHeight="1">
      <x:c r="A399" s="7" t="str">
        <x:v>aftermarket hydraulic motor supplier</x:v>
      </x:c>
      <x:c r="B399" s="8" t="n">
        <x:v>0</x:v>
      </x:c>
      <x:c r="C399" s="9" t="n">
        <x:v>0</x:v>
      </x:c>
      <x:c r="D399" s="10" t="n">
        <x:v>0</x:v>
      </x:c>
      <x:c r="E399" s="12" t="n">
        <x:v>0</x:v>
      </x:c>
      <x:c r="F399" s="12" t="n">
        <x:v>0</x:v>
      </x:c>
      <x:c r="G399" s="11" t="n">
        <x:v>0</x:v>
      </x:c>
      <x:c r="H399" s="7" t="str"/>
    </x:row>
    <x:row r="400" ht="19" customHeight="1">
      <x:c r="A400" s="7" t="str">
        <x:v>aftermarket hydraulic valve supplier</x:v>
      </x:c>
      <x:c r="B400" s="8" t="n">
        <x:v>0</x:v>
      </x:c>
      <x:c r="C400" s="9" t="n">
        <x:v>0</x:v>
      </x:c>
      <x:c r="D400" s="10" t="n">
        <x:v>0</x:v>
      </x:c>
      <x:c r="E400" s="12" t="n">
        <x:v>0</x:v>
      </x:c>
      <x:c r="F400" s="12" t="n">
        <x:v>0</x:v>
      </x:c>
      <x:c r="G400" s="11" t="n">
        <x:v>0</x:v>
      </x:c>
      <x:c r="H400" s="7" t="str"/>
    </x:row>
    <x:row r="401" ht="19" customHeight="1">
      <x:c r="A401" s="7" t="str">
        <x:v>hydraulic pump distributor</x:v>
      </x:c>
      <x:c r="B401" s="8" t="n">
        <x:v>10</x:v>
      </x:c>
      <x:c r="C401" s="9" t="n">
        <x:v>2.67</x:v>
      </x:c>
      <x:c r="D401" s="10" t="n">
        <x:v>0.96</x:v>
      </x:c>
      <x:c r="E401" s="12" t="n">
        <x:v>10</x:v>
      </x:c>
      <x:c r="F401" s="12" t="n">
        <x:v>15.833333333333334</x:v>
      </x:c>
      <x:c r="G401" s="11" t="n">
        <x:v>-0.368421052631579</x:v>
      </x:c>
      <x:c r="H401" s="7" t="str">
        <x:v>Jul 2025:10 | Aug 2025:10 | Sep 2025:10 | Oct 2025:30 | Nov 2025:10 | Dec 2025:20 | Jan 2026:20 | Feb 2026:10 | Mar 2026:10 | Apr 2026:30 | May 2026:20 | Jun 2026:10</x:v>
      </x:c>
    </x:row>
    <x:row r="402" ht="19" customHeight="1">
      <x:c r="A402" s="7" t="str">
        <x:v>hydraulic motor distributor</x:v>
      </x:c>
      <x:c r="B402" s="8" t="n">
        <x:v>30</x:v>
      </x:c>
      <x:c r="C402" s="9" t="n">
        <x:v>5.51</x:v>
      </x:c>
      <x:c r="D402" s="10" t="n">
        <x:v>1</x:v>
      </x:c>
      <x:c r="E402" s="12" t="n">
        <x:v>10</x:v>
      </x:c>
      <x:c r="F402" s="12" t="n">
        <x:v>27.5</x:v>
      </x:c>
      <x:c r="G402" s="11" t="n">
        <x:v>-0.6363636363636364</x:v>
      </x:c>
      <x:c r="H402" s="7" t="str">
        <x:v>Jul 2025:20 | Aug 2025:30 | Sep 2025:30 | Oct 2025:30 | Nov 2025:20 | Dec 2025:50 | Jan 2026:30 | Feb 2026:20 | Mar 2026:30 | Apr 2026:20 | May 2026:40 | Jun 2026:10</x:v>
      </x:c>
    </x:row>
    <x:row r="403" ht="19" customHeight="1">
      <x:c r="A403" s="7" t="str">
        <x:v>hydraulic valve distributor</x:v>
      </x:c>
      <x:c r="B403" s="8" t="n">
        <x:v>20</x:v>
      </x:c>
      <x:c r="C403" s="9" t="n">
        <x:v>0</x:v>
      </x:c>
      <x:c r="D403" s="10" t="n">
        <x:v>0.89</x:v>
      </x:c>
      <x:c r="E403" s="12" t="n">
        <x:v>10</x:v>
      </x:c>
      <x:c r="F403" s="12" t="n">
        <x:v>17.5</x:v>
      </x:c>
      <x:c r="G403" s="11" t="n">
        <x:v>-0.42857142857142855</x:v>
      </x:c>
      <x:c r="H403" s="7" t="str">
        <x:v>Jul 2025:10 | Aug 2025:30 | Sep 2025:20 | Oct 2025:10 | Nov 2025:10 | Dec 2025:20 | Jan 2026:30 | Feb 2026:10 | Mar 2026:20 | Apr 2026:20 | May 2026:20 | Jun 2026:10</x:v>
      </x:c>
    </x:row>
    <x:row r="404" ht="19" customHeight="1">
      <x:c r="A404" s="7" t="str">
        <x:v>hydraulic pump price</x:v>
      </x:c>
      <x:c r="B404" s="8" t="n">
        <x:v>140</x:v>
      </x:c>
      <x:c r="C404" s="9" t="n">
        <x:v>1.24</x:v>
      </x:c>
      <x:c r="D404" s="10" t="n">
        <x:v>0.63</x:v>
      </x:c>
      <x:c r="E404" s="12" t="n">
        <x:v>90</x:v>
      </x:c>
      <x:c r="F404" s="12" t="n">
        <x:v>125.83333333333333</x:v>
      </x:c>
      <x:c r="G404" s="11" t="n">
        <x:v>-0.28476821192052976</x:v>
      </x:c>
      <x:c r="H404" s="7" t="str">
        <x:v>Jul 2025:170 | Aug 2025:140 | Sep 2025:210 | Oct 2025:210 | Nov 2025:170 | Dec 2025:90 | Jan 2026:70 | Feb 2026:110 | Mar 2026:50 | Apr 2026:110 | May 2026:90 | Jun 2026:90</x:v>
      </x:c>
    </x:row>
    <x:row r="405" ht="19" customHeight="1">
      <x:c r="A405" s="7" t="str">
        <x:v>hydraulic motor price</x:v>
      </x:c>
      <x:c r="B405" s="8" t="n">
        <x:v>20</x:v>
      </x:c>
      <x:c r="C405" s="9" t="n">
        <x:v>0</x:v>
      </x:c>
      <x:c r="D405" s="10" t="n">
        <x:v>0.94</x:v>
      </x:c>
      <x:c r="E405" s="12" t="n">
        <x:v>20</x:v>
      </x:c>
      <x:c r="F405" s="12" t="n">
        <x:v>15.833333333333334</x:v>
      </x:c>
      <x:c r="G405" s="11" t="n">
        <x:v>0.26315789473684204</x:v>
      </x:c>
      <x:c r="H405" s="7" t="str">
        <x:v>Jul 2025:20 | Aug 2025:20 | Sep 2025:20 | Oct 2025:20 | Nov 2025:10 | Dec 2025:10 | Jan 2026:10 | Feb 2026:10 | Mar 2026:20 | Apr 2026:20 | May 2026:10 | Jun 2026:20</x:v>
      </x:c>
    </x:row>
    <x:row r="406" ht="19" customHeight="1">
      <x:c r="A406" s="7" t="str">
        <x:v>hydraulic valve price</x:v>
      </x:c>
      <x:c r="B406" s="8" t="n">
        <x:v>10</x:v>
      </x:c>
      <x:c r="C406" s="9" t="n">
        <x:v>0</x:v>
      </x:c>
      <x:c r="D406" s="10" t="n">
        <x:v>0.67</x:v>
      </x:c>
      <x:c r="E406" s="12" t="n">
        <x:v>10</x:v>
      </x:c>
      <x:c r="F406" s="12" t="n">
        <x:v>8.333333333333334</x:v>
      </x:c>
      <x:c r="G406" s="11" t="n">
        <x:v>0.19999999999999993</x:v>
      </x:c>
      <x:c r="H406" s="7" t="str">
        <x:v>Jul 2025:10 | Aug 2025:10 | Sep 2025:0 | Oct 2025:10 | Nov 2025:0 | Dec 2025:10 | Jan 2026:10 | Feb 2026:10 | Mar 2026:10 | Apr 2026:10 | May 2026:10 | Jun 2026:10</x:v>
      </x:c>
    </x:row>
    <x:row r="407" ht="19" customHeight="1">
      <x:c r="A407" s="7" t="str">
        <x:v>hydraulic pump quote</x:v>
      </x:c>
      <x:c r="B407" s="8" t="n">
        <x:v>0</x:v>
      </x:c>
      <x:c r="C407" s="9" t="n">
        <x:v>0</x:v>
      </x:c>
      <x:c r="D407" s="10" t="n">
        <x:v>0</x:v>
      </x:c>
      <x:c r="E407" s="12" t="n">
        <x:v>0</x:v>
      </x:c>
      <x:c r="F407" s="12" t="n">
        <x:v>0</x:v>
      </x:c>
      <x:c r="G407" s="11" t="n">
        <x:v>0</x:v>
      </x:c>
      <x:c r="H407" s="7" t="str"/>
    </x:row>
    <x:row r="408" ht="19" customHeight="1">
      <x:c r="A408" s="7" t="str">
        <x:v>hydraulic motor quote</x:v>
      </x:c>
      <x:c r="B408" s="8" t="n">
        <x:v>0</x:v>
      </x:c>
      <x:c r="C408" s="9" t="n">
        <x:v>0</x:v>
      </x:c>
      <x:c r="D408" s="10" t="n">
        <x:v>0</x:v>
      </x:c>
      <x:c r="E408" s="12" t="n">
        <x:v>0</x:v>
      </x:c>
      <x:c r="F408" s="12" t="n">
        <x:v>0</x:v>
      </x:c>
      <x:c r="G408" s="11" t="n">
        <x:v>0</x:v>
      </x:c>
      <x:c r="H408" s="7" t="str"/>
    </x:row>
    <x:row r="409" ht="19" customHeight="1">
      <x:c r="A409" s="7" t="str">
        <x:v>hydraulic valve quote</x:v>
      </x:c>
      <x:c r="B409" s="8" t="n">
        <x:v>0</x:v>
      </x:c>
      <x:c r="C409" s="9" t="n">
        <x:v>0</x:v>
      </x:c>
      <x:c r="D409" s="10" t="n">
        <x:v>0</x:v>
      </x:c>
      <x:c r="E409" s="12" t="n">
        <x:v>0</x:v>
      </x:c>
      <x:c r="F409" s="12" t="n">
        <x:v>0</x:v>
      </x:c>
      <x:c r="G409" s="11" t="n">
        <x:v>0</x:v>
      </x:c>
      <x:c r="H409" s="7" t="str"/>
    </x:row>
    <x:row r="410" ht="19" customHeight="1">
      <x:c r="A410" s="7" t="str">
        <x:v>hydraulic pump model identification</x:v>
      </x:c>
      <x:c r="B410" s="8" t="n">
        <x:v>0</x:v>
      </x:c>
      <x:c r="C410" s="9" t="n">
        <x:v>0</x:v>
      </x:c>
      <x:c r="D410" s="10" t="n">
        <x:v>0</x:v>
      </x:c>
      <x:c r="E410" s="12" t="n">
        <x:v>0</x:v>
      </x:c>
      <x:c r="F410" s="12" t="n">
        <x:v>0</x:v>
      </x:c>
      <x:c r="G410" s="11" t="n">
        <x:v>0</x:v>
      </x:c>
      <x:c r="H410" s="7" t="str"/>
    </x:row>
    <x:row r="411" ht="19" customHeight="1">
      <x:c r="A411" s="7" t="str">
        <x:v>hydraulic motor model identification</x:v>
      </x:c>
      <x:c r="B411" s="8" t="n">
        <x:v>0</x:v>
      </x:c>
      <x:c r="C411" s="9" t="n">
        <x:v>0</x:v>
      </x:c>
      <x:c r="D411" s="10" t="n">
        <x:v>0</x:v>
      </x:c>
      <x:c r="E411" s="12" t="n">
        <x:v>0</x:v>
      </x:c>
      <x:c r="F411" s="12" t="n">
        <x:v>0</x:v>
      </x:c>
      <x:c r="G411" s="11" t="n">
        <x:v>0</x:v>
      </x:c>
      <x:c r="H411" s="7" t="str"/>
    </x:row>
    <x:row r="412" ht="19" customHeight="1">
      <x:c r="A412" s="7" t="str">
        <x:v>hydraulic valve model identification</x:v>
      </x:c>
      <x:c r="B412" s="8" t="n">
        <x:v>0</x:v>
      </x:c>
      <x:c r="C412" s="9" t="n">
        <x:v>0</x:v>
      </x:c>
      <x:c r="D412" s="10" t="n">
        <x:v>0</x:v>
      </x:c>
      <x:c r="E412" s="12" t="n">
        <x:v>0</x:v>
      </x:c>
      <x:c r="F412" s="12" t="n">
        <x:v>0</x:v>
      </x:c>
      <x:c r="G412" s="11" t="n">
        <x:v>0</x:v>
      </x:c>
      <x:c r="H412" s="7" t="str"/>
    </x:row>
    <x:row r="413" ht="19" customHeight="1">
      <x:c r="A413" s="7" t="str">
        <x:v>how to identify hydraulic pump model</x:v>
      </x:c>
      <x:c r="B413" s="8" t="n">
        <x:v>0</x:v>
      </x:c>
      <x:c r="C413" s="9" t="n">
        <x:v>0</x:v>
      </x:c>
      <x:c r="D413" s="10" t="n">
        <x:v>0</x:v>
      </x:c>
      <x:c r="E413" s="12" t="n">
        <x:v>0</x:v>
      </x:c>
      <x:c r="F413" s="12" t="n">
        <x:v>0</x:v>
      </x:c>
      <x:c r="G413" s="11" t="n">
        <x:v>0</x:v>
      </x:c>
      <x:c r="H413" s="7" t="str"/>
    </x:row>
    <x:row r="414" ht="19" customHeight="1">
      <x:c r="A414" s="7" t="str">
        <x:v>how to read hydraulic valve model code</x:v>
      </x:c>
      <x:c r="B414" s="8" t="n">
        <x:v>0</x:v>
      </x:c>
      <x:c r="C414" s="9" t="n">
        <x:v>0</x:v>
      </x:c>
      <x:c r="D414" s="10" t="n">
        <x:v>0</x:v>
      </x:c>
      <x:c r="E414" s="12" t="n">
        <x:v>0</x:v>
      </x:c>
      <x:c r="F414" s="12" t="n">
        <x:v>0</x:v>
      </x:c>
      <x:c r="G414" s="11" t="n">
        <x:v>0</x:v>
      </x:c>
      <x:c r="H414" s="7" t="str"/>
    </x:row>
    <x:row r="415" ht="19" customHeight="1">
      <x:c r="A415" s="7" t="str">
        <x:v>hydraulic pump nameplate identification</x:v>
      </x:c>
      <x:c r="B415" s="8" t="n">
        <x:v>0</x:v>
      </x:c>
      <x:c r="C415" s="9" t="n">
        <x:v>0</x:v>
      </x:c>
      <x:c r="D415" s="10" t="n">
        <x:v>0</x:v>
      </x:c>
      <x:c r="E415" s="12" t="n">
        <x:v>0</x:v>
      </x:c>
      <x:c r="F415" s="12" t="n">
        <x:v>0</x:v>
      </x:c>
      <x:c r="G415" s="11" t="n">
        <x:v>0</x:v>
      </x:c>
      <x:c r="H415" s="7" t="str"/>
    </x:row>
    <x:row r="416" ht="19" customHeight="1">
      <x:c r="A416" s="7" t="str">
        <x:v>hydraulic pump rotation identification</x:v>
      </x:c>
      <x:c r="B416" s="8" t="n">
        <x:v>0</x:v>
      </x:c>
      <x:c r="C416" s="9" t="n">
        <x:v>0</x:v>
      </x:c>
      <x:c r="D416" s="10" t="n">
        <x:v>0</x:v>
      </x:c>
      <x:c r="E416" s="12" t="n">
        <x:v>0</x:v>
      </x:c>
      <x:c r="F416" s="12" t="n">
        <x:v>0</x:v>
      </x:c>
      <x:c r="G416" s="11" t="n">
        <x:v>0</x:v>
      </x:c>
      <x:c r="H416" s="7" t="str"/>
    </x:row>
    <x:row r="417" ht="19" customHeight="1">
      <x:c r="A417" s="7" t="str">
        <x:v>hydraulic pump flange identification</x:v>
      </x:c>
      <x:c r="B417" s="8" t="n">
        <x:v>0</x:v>
      </x:c>
      <x:c r="C417" s="9" t="n">
        <x:v>0</x:v>
      </x:c>
      <x:c r="D417" s="10" t="n">
        <x:v>0</x:v>
      </x:c>
      <x:c r="E417" s="12" t="n">
        <x:v>0</x:v>
      </x:c>
      <x:c r="F417" s="12" t="n">
        <x:v>0</x:v>
      </x:c>
      <x:c r="G417" s="11" t="n">
        <x:v>0</x:v>
      </x:c>
      <x:c r="H417" s="7" t="str"/>
    </x:row>
    <x:row r="418" ht="19" customHeight="1">
      <x:c r="A418" s="7" t="str">
        <x:v>hydraulic pump shaft identification</x:v>
      </x:c>
      <x:c r="B418" s="8" t="n">
        <x:v>0</x:v>
      </x:c>
      <x:c r="C418" s="9" t="n">
        <x:v>0</x:v>
      </x:c>
      <x:c r="D418" s="10" t="n">
        <x:v>0</x:v>
      </x:c>
      <x:c r="E418" s="12" t="n">
        <x:v>0</x:v>
      </x:c>
      <x:c r="F418" s="12" t="n">
        <x:v>0</x:v>
      </x:c>
      <x:c r="G418" s="11" t="n">
        <x:v>0</x:v>
      </x:c>
      <x:c r="H418" s="7" t="str"/>
    </x:row>
    <x:row r="419" ht="19" customHeight="1">
      <x:c r="A419" s="7" t="str">
        <x:v>hydraulic pump seal kit supplier</x:v>
      </x:c>
      <x:c r="B419" s="8" t="n">
        <x:v>0</x:v>
      </x:c>
      <x:c r="C419" s="9" t="n">
        <x:v>0</x:v>
      </x:c>
      <x:c r="D419" s="10" t="n">
        <x:v>0</x:v>
      </x:c>
      <x:c r="E419" s="12" t="n">
        <x:v>0</x:v>
      </x:c>
      <x:c r="F419" s="12" t="n">
        <x:v>0</x:v>
      </x:c>
      <x:c r="G419" s="11" t="n">
        <x:v>0</x:v>
      </x:c>
      <x:c r="H419" s="7" t="str"/>
    </x:row>
    <x:row r="420" ht="19" customHeight="1">
      <x:c r="A420" s="7" t="str">
        <x:v>hydraulic motor seal kit supplier</x:v>
      </x:c>
      <x:c r="B420" s="8" t="n">
        <x:v>0</x:v>
      </x:c>
      <x:c r="C420" s="9" t="n">
        <x:v>0</x:v>
      </x:c>
      <x:c r="D420" s="10" t="n">
        <x:v>0</x:v>
      </x:c>
      <x:c r="E420" s="12" t="n">
        <x:v>0</x:v>
      </x:c>
      <x:c r="F420" s="12" t="n">
        <x:v>0</x:v>
      </x:c>
      <x:c r="G420" s="11" t="n">
        <x:v>0</x:v>
      </x:c>
      <x:c r="H420" s="7" t="str"/>
    </x:row>
    <x:row r="421" ht="19" customHeight="1">
      <x:c r="A421" s="7" t="str">
        <x:v>hydraulic pump repair parts supplier</x:v>
      </x:c>
      <x:c r="B421" s="8" t="n">
        <x:v>0</x:v>
      </x:c>
      <x:c r="C421" s="9" t="n">
        <x:v>0</x:v>
      </x:c>
      <x:c r="D421" s="10" t="n">
        <x:v>0</x:v>
      </x:c>
      <x:c r="E421" s="12" t="n">
        <x:v>0</x:v>
      </x:c>
      <x:c r="F421" s="12" t="n">
        <x:v>0</x:v>
      </x:c>
      <x:c r="G421" s="11" t="n">
        <x:v>0</x:v>
      </x:c>
      <x:c r="H421" s="7" t="str"/>
    </x:row>
    <x:row r="422" ht="19" customHeight="1">
      <x:c r="A422" s="7" t="str">
        <x:v>hydraulic motor repair parts supplier</x:v>
      </x:c>
      <x:c r="B422" s="8" t="n">
        <x:v>0</x:v>
      </x:c>
      <x:c r="C422" s="9" t="n">
        <x:v>0</x:v>
      </x:c>
      <x:c r="D422" s="10" t="n">
        <x:v>0</x:v>
      </x:c>
      <x:c r="E422" s="12" t="n">
        <x:v>0</x:v>
      </x:c>
      <x:c r="F422" s="12" t="n">
        <x:v>0</x:v>
      </x:c>
      <x:c r="G422" s="11" t="n">
        <x:v>0</x:v>
      </x:c>
      <x:c r="H422" s="7" t="str"/>
    </x:row>
  </x:sheetData>
  <x:pageMargins left="0.7" right="0.7" top="0.75" bottom="0.75" header="0.3" footer="0.3"/>
  <x:tableParts count="1">
    <x:tablePart xmlns:r="http://schemas.openxmlformats.org/officeDocument/2006/relationships" r:id="R0a964ba4998545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" hidden="0" customWidth="1"/>
    <x:col min="2" max="2" width="22" hidden="0" customWidth="1"/>
    <x:col min="3" max="3" width="20" hidden="0" customWidth="1"/>
  </x:cols>
  <x:sheetData>
    <x:row r="1" ht="19" customHeight="1">
      <x:c r="A1" s="6" t="str">
        <x:v>Current URL</x:v>
      </x:c>
      <x:c r="B1" s="6" t="str">
        <x:v>Section</x:v>
      </x:c>
      <x:c r="C1" s="6" t="str">
        <x:v>Page Class</x:v>
      </x:c>
    </x:row>
    <x:row r="2" ht="19" customHeight="1">
      <x:c r="A2" s="7" t="str">
        <x:v>/</x:v>
      </x:c>
      <x:c r="B2" s="7" t="str">
        <x:v>home</x:v>
      </x:c>
      <x:c r="C2" s="7" t="str">
        <x:v>Core / Other</x:v>
      </x:c>
    </x:row>
    <x:row r="3" ht="19" customHeight="1">
      <x:c r="A3" s="7" t="str">
        <x:v>/about/</x:v>
      </x:c>
      <x:c r="B3" s="7" t="str">
        <x:v>about</x:v>
      </x:c>
      <x:c r="C3" s="7" t="str">
        <x:v>Core / Other</x:v>
      </x:c>
    </x:row>
    <x:row r="4" ht="19" customHeight="1">
      <x:c r="A4" s="7" t="str">
        <x:v>/alternatives/</x:v>
      </x:c>
      <x:c r="B4" s="7" t="str">
        <x:v>alternatives</x:v>
      </x:c>
      <x:c r="C4" s="7" t="str">
        <x:v>Core / Other</x:v>
      </x:c>
    </x:row>
    <x:row r="5" ht="19" customHeight="1">
      <x:c r="A5" s="7" t="str">
        <x:v>/alternatives/parker/</x:v>
      </x:c>
      <x:c r="B5" s="7" t="str">
        <x:v>alternatives</x:v>
      </x:c>
      <x:c r="C5" s="7" t="str">
        <x:v>Core / Other</x:v>
      </x:c>
    </x:row>
    <x:row r="6" ht="19" customHeight="1">
      <x:c r="A6" s="7" t="str">
        <x:v>/alternatives/parker/d1vw/</x:v>
      </x:c>
      <x:c r="B6" s="7" t="str">
        <x:v>alternatives</x:v>
      </x:c>
      <x:c r="C6" s="7" t="str">
        <x:v>Core / Other</x:v>
      </x:c>
    </x:row>
    <x:row r="7" ht="19" customHeight="1">
      <x:c r="A7" s="7" t="str">
        <x:v>/alternatives/parker/pavc/</x:v>
      </x:c>
      <x:c r="B7" s="7" t="str">
        <x:v>alternatives</x:v>
      </x:c>
      <x:c r="C7" s="7" t="str">
        <x:v>Core / Other</x:v>
      </x:c>
    </x:row>
    <x:row r="8" ht="19" customHeight="1">
      <x:c r="A8" s="7" t="str">
        <x:v>/alternatives/rexroth/</x:v>
      </x:c>
      <x:c r="B8" s="7" t="str">
        <x:v>alternatives</x:v>
      </x:c>
      <x:c r="C8" s="7" t="str">
        <x:v>Core / Other</x:v>
      </x:c>
    </x:row>
    <x:row r="9" ht="19" customHeight="1">
      <x:c r="A9" s="7" t="str">
        <x:v>/alternatives/rexroth/4we6/</x:v>
      </x:c>
      <x:c r="B9" s="7" t="str">
        <x:v>alternatives</x:v>
      </x:c>
      <x:c r="C9" s="7" t="str">
        <x:v>Core / Other</x:v>
      </x:c>
    </x:row>
    <x:row r="10" ht="19" customHeight="1">
      <x:c r="A10" s="7" t="str">
        <x:v>/alternatives/rexroth/4we10/</x:v>
      </x:c>
      <x:c r="B10" s="7" t="str">
        <x:v>alternatives</x:v>
      </x:c>
      <x:c r="C10" s="7" t="str">
        <x:v>Core / Other</x:v>
      </x:c>
    </x:row>
    <x:row r="11" ht="19" customHeight="1">
      <x:c r="A11" s="7" t="str">
        <x:v>/alternatives/rexroth/a2fo/</x:v>
      </x:c>
      <x:c r="B11" s="7" t="str">
        <x:v>alternatives</x:v>
      </x:c>
      <x:c r="C11" s="7" t="str">
        <x:v>Core / Other</x:v>
      </x:c>
    </x:row>
    <x:row r="12" ht="19" customHeight="1">
      <x:c r="A12" s="7" t="str">
        <x:v>/alternatives/rexroth/a4vg/</x:v>
      </x:c>
      <x:c r="B12" s="7" t="str">
        <x:v>alternatives</x:v>
      </x:c>
      <x:c r="C12" s="7" t="str">
        <x:v>Core / Other</x:v>
      </x:c>
    </x:row>
    <x:row r="13" ht="19" customHeight="1">
      <x:c r="A13" s="7" t="str">
        <x:v>/alternatives/rexroth/a10vso/</x:v>
      </x:c>
      <x:c r="B13" s="7" t="str">
        <x:v>alternatives</x:v>
      </x:c>
      <x:c r="C13" s="7" t="str">
        <x:v>Core / Other</x:v>
      </x:c>
    </x:row>
    <x:row r="14" ht="19" customHeight="1">
      <x:c r="A14" s="7" t="str">
        <x:v>/alternatives/rexroth/a11vo/</x:v>
      </x:c>
      <x:c r="B14" s="7" t="str">
        <x:v>alternatives</x:v>
      </x:c>
      <x:c r="C14" s="7" t="str">
        <x:v>Core / Other</x:v>
      </x:c>
    </x:row>
    <x:row r="15" ht="19" customHeight="1">
      <x:c r="A15" s="7" t="str">
        <x:v>/alternatives/rexroth/directional-valves/</x:v>
      </x:c>
      <x:c r="B15" s="7" t="str">
        <x:v>alternatives</x:v>
      </x:c>
      <x:c r="C15" s="7" t="str">
        <x:v>Core / Other</x:v>
      </x:c>
    </x:row>
    <x:row r="16" ht="19" customHeight="1">
      <x:c r="A16" s="7" t="str">
        <x:v>/alternatives/rexroth/modular-valves/</x:v>
      </x:c>
      <x:c r="B16" s="7" t="str">
        <x:v>alternatives</x:v>
      </x:c>
      <x:c r="C16" s="7" t="str">
        <x:v>Core / Other</x:v>
      </x:c>
    </x:row>
    <x:row r="17" ht="19" customHeight="1">
      <x:c r="A17" s="7" t="str">
        <x:v>/alternatives/vickers/</x:v>
      </x:c>
      <x:c r="B17" s="7" t="str">
        <x:v>alternatives</x:v>
      </x:c>
      <x:c r="C17" s="7" t="str">
        <x:v>Core / Other</x:v>
      </x:c>
    </x:row>
    <x:row r="18" ht="19" customHeight="1">
      <x:c r="A18" s="7" t="str">
        <x:v>/alternatives/vickers/dg4v/</x:v>
      </x:c>
      <x:c r="B18" s="7" t="str">
        <x:v>alternatives</x:v>
      </x:c>
      <x:c r="C18" s="7" t="str">
        <x:v>Core / Other</x:v>
      </x:c>
    </x:row>
    <x:row r="19" ht="19" customHeight="1">
      <x:c r="A19" s="7" t="str">
        <x:v>/alternatives/vickers/pvh/</x:v>
      </x:c>
      <x:c r="B19" s="7" t="str">
        <x:v>alternatives</x:v>
      </x:c>
      <x:c r="C19" s="7" t="str">
        <x:v>Core / Other</x:v>
      </x:c>
    </x:row>
    <x:row r="20" ht="19" customHeight="1">
      <x:c r="A20" s="7" t="str">
        <x:v>/authors/technical-review-team/</x:v>
      </x:c>
      <x:c r="B20" s="7" t="str">
        <x:v>authors</x:v>
      </x:c>
      <x:c r="C20" s="7" t="str">
        <x:v>Core / Other</x:v>
      </x:c>
    </x:row>
    <x:row r="21" ht="19" customHeight="1">
      <x:c r="A21" s="7" t="str">
        <x:v>/brands/</x:v>
      </x:c>
      <x:c r="B21" s="7" t="str">
        <x:v>brands</x:v>
      </x:c>
      <x:c r="C21" s="7" t="str">
        <x:v>Brand</x:v>
      </x:c>
    </x:row>
    <x:row r="22" ht="19" customHeight="1">
      <x:c r="A22" s="7" t="str">
        <x:v>/brands/atos/</x:v>
      </x:c>
      <x:c r="B22" s="7" t="str">
        <x:v>brands</x:v>
      </x:c>
      <x:c r="C22" s="7" t="str">
        <x:v>Brand</x:v>
      </x:c>
    </x:row>
    <x:row r="23" ht="19" customHeight="1">
      <x:c r="A23" s="7" t="str">
        <x:v>/brands/bosch-rexroth/</x:v>
      </x:c>
      <x:c r="B23" s="7" t="str">
        <x:v>brands</x:v>
      </x:c>
      <x:c r="C23" s="7" t="str">
        <x:v>Brand</x:v>
      </x:c>
    </x:row>
    <x:row r="24" ht="19" customHeight="1">
      <x:c r="A24" s="7" t="str">
        <x:v>/brands/bucher/</x:v>
      </x:c>
      <x:c r="B24" s="7" t="str">
        <x:v>brands</x:v>
      </x:c>
      <x:c r="C24" s="7" t="str">
        <x:v>Brand</x:v>
      </x:c>
    </x:row>
    <x:row r="25" ht="19" customHeight="1">
      <x:c r="A25" s="7" t="str">
        <x:v>/brands/casappa/</x:v>
      </x:c>
      <x:c r="B25" s="7" t="str">
        <x:v>brands</x:v>
      </x:c>
      <x:c r="C25" s="7" t="str">
        <x:v>Brand</x:v>
      </x:c>
    </x:row>
    <x:row r="26" ht="19" customHeight="1">
      <x:c r="A26" s="7" t="str">
        <x:v>/brands/danfoss-sundstrand/</x:v>
      </x:c>
      <x:c r="B26" s="7" t="str">
        <x:v>brands</x:v>
      </x:c>
      <x:c r="C26" s="7" t="str">
        <x:v>Brand</x:v>
      </x:c>
    </x:row>
    <x:row r="27" ht="19" customHeight="1">
      <x:c r="A27" s="7" t="str">
        <x:v>/brands/denison/</x:v>
      </x:c>
      <x:c r="B27" s="7" t="str">
        <x:v>brands</x:v>
      </x:c>
      <x:c r="C27" s="7" t="str">
        <x:v>Brand</x:v>
      </x:c>
    </x:row>
    <x:row r="28" ht="19" customHeight="1">
      <x:c r="A28" s="7" t="str">
        <x:v>/brands/eaton-vickers/</x:v>
      </x:c>
      <x:c r="B28" s="7" t="str">
        <x:v>brands</x:v>
      </x:c>
      <x:c r="C28" s="7" t="str">
        <x:v>Brand</x:v>
      </x:c>
    </x:row>
    <x:row r="29" ht="19" customHeight="1">
      <x:c r="A29" s="7" t="str">
        <x:v>/brands/hawe/</x:v>
      </x:c>
      <x:c r="B29" s="7" t="str">
        <x:v>brands</x:v>
      </x:c>
      <x:c r="C29" s="7" t="str">
        <x:v>Brand</x:v>
      </x:c>
    </x:row>
    <x:row r="30" ht="19" customHeight="1">
      <x:c r="A30" s="7" t="str">
        <x:v>/brands/hydac/</x:v>
      </x:c>
      <x:c r="B30" s="7" t="str">
        <x:v>brands</x:v>
      </x:c>
      <x:c r="C30" s="7" t="str">
        <x:v>Brand</x:v>
      </x:c>
    </x:row>
    <x:row r="31" ht="19" customHeight="1">
      <x:c r="A31" s="7" t="str">
        <x:v>/brands/kawasaki/</x:v>
      </x:c>
      <x:c r="B31" s="7" t="str">
        <x:v>brands</x:v>
      </x:c>
      <x:c r="C31" s="7" t="str">
        <x:v>Brand</x:v>
      </x:c>
    </x:row>
    <x:row r="32" ht="19" customHeight="1">
      <x:c r="A32" s="7" t="str">
        <x:v>/brands/linde/</x:v>
      </x:c>
      <x:c r="B32" s="7" t="str">
        <x:v>brands</x:v>
      </x:c>
      <x:c r="C32" s="7" t="str">
        <x:v>Brand</x:v>
      </x:c>
    </x:row>
    <x:row r="33" ht="19" customHeight="1">
      <x:c r="A33" s="7" t="str">
        <x:v>/brands/moog/</x:v>
      </x:c>
      <x:c r="B33" s="7" t="str">
        <x:v>brands</x:v>
      </x:c>
      <x:c r="C33" s="7" t="str">
        <x:v>Brand</x:v>
      </x:c>
    </x:row>
    <x:row r="34" ht="19" customHeight="1">
      <x:c r="A34" s="7" t="str">
        <x:v>/brands/nachi/</x:v>
      </x:c>
      <x:c r="B34" s="7" t="str">
        <x:v>brands</x:v>
      </x:c>
      <x:c r="C34" s="7" t="str">
        <x:v>Brand</x:v>
      </x:c>
    </x:row>
    <x:row r="35" ht="19" customHeight="1">
      <x:c r="A35" s="7" t="str">
        <x:v>/brands/parker/</x:v>
      </x:c>
      <x:c r="B35" s="7" t="str">
        <x:v>brands</x:v>
      </x:c>
      <x:c r="C35" s="7" t="str">
        <x:v>Brand</x:v>
      </x:c>
    </x:row>
    <x:row r="36" ht="19" customHeight="1">
      <x:c r="A36" s="7" t="str">
        <x:v>/brands/poclain/</x:v>
      </x:c>
      <x:c r="B36" s="7" t="str">
        <x:v>brands</x:v>
      </x:c>
      <x:c r="C36" s="7" t="str">
        <x:v>Brand</x:v>
      </x:c>
    </x:row>
    <x:row r="37" ht="19" customHeight="1">
      <x:c r="A37" s="7" t="str">
        <x:v>/brands/yuken/</x:v>
      </x:c>
      <x:c r="B37" s="7" t="str">
        <x:v>brands</x:v>
      </x:c>
      <x:c r="C37" s="7" t="str">
        <x:v>Brand</x:v>
      </x:c>
    </x:row>
    <x:row r="38" ht="19" customHeight="1">
      <x:c r="A38" s="7" t="str">
        <x:v>/case-studies/</x:v>
      </x:c>
      <x:c r="B38" s="7" t="str">
        <x:v>case-studies</x:v>
      </x:c>
      <x:c r="C38" s="7" t="str">
        <x:v>Core / Other</x:v>
      </x:c>
    </x:row>
    <x:row r="39" ht="19" customHeight="1">
      <x:c r="A39" s="7" t="str">
        <x:v>/case-studies/directional-valve-model-code-review-germany/</x:v>
      </x:c>
      <x:c r="B39" s="7" t="str">
        <x:v>case-studies</x:v>
      </x:c>
      <x:c r="C39" s="7" t="str">
        <x:v>Core / Other</x:v>
      </x:c>
    </x:row>
    <x:row r="40" ht="19" customHeight="1">
      <x:c r="A40" s="7" t="str">
        <x:v>/case-studies/mixed-hydraulic-rfq-export-uae/</x:v>
      </x:c>
      <x:c r="B40" s="7" t="str">
        <x:v>case-studies</x:v>
      </x:c>
      <x:c r="C40" s="7" t="str">
        <x:v>Core / Other</x:v>
      </x:c>
    </x:row>
    <x:row r="41" ht="19" customHeight="1">
      <x:c r="A41" s="7" t="str">
        <x:v>/case-studies/pump-identification-from-nameplate-united-states/</x:v>
      </x:c>
      <x:c r="B41" s="7" t="str">
        <x:v>case-studies</x:v>
      </x:c>
      <x:c r="C41" s="7" t="str">
        <x:v>Core / Other</x:v>
      </x:c>
    </x:row>
    <x:row r="42" ht="19" customHeight="1">
      <x:c r="A42" s="7" t="str">
        <x:v>/commercial-proof/</x:v>
      </x:c>
      <x:c r="B42" s="7" t="str">
        <x:v>commercial-proof</x:v>
      </x:c>
      <x:c r="C42" s="7" t="str">
        <x:v>Core / Other</x:v>
      </x:c>
    </x:row>
    <x:row r="43" ht="19" customHeight="1">
      <x:c r="A43" s="7" t="str">
        <x:v>/contact/</x:v>
      </x:c>
      <x:c r="B43" s="7" t="str">
        <x:v>contact</x:v>
      </x:c>
      <x:c r="C43" s="7" t="str">
        <x:v>Core / Other</x:v>
      </x:c>
    </x:row>
    <x:row r="44" ht="19" customHeight="1">
      <x:c r="A44" s="7" t="str">
        <x:v>/cross-reference/</x:v>
      </x:c>
      <x:c r="B44" s="7" t="str">
        <x:v>cross-reference</x:v>
      </x:c>
      <x:c r="C44" s="7" t="str">
        <x:v>Core / Other</x:v>
      </x:c>
    </x:row>
    <x:row r="45" ht="19" customHeight="1">
      <x:c r="A45" s="7" t="str">
        <x:v>/distributor-support/</x:v>
      </x:c>
      <x:c r="B45" s="7" t="str">
        <x:v>distributor-support</x:v>
      </x:c>
      <x:c r="C45" s="7" t="str">
        <x:v>Core / Other</x:v>
      </x:c>
    </x:row>
    <x:row r="46" ht="19" customHeight="1">
      <x:c r="A46" s="7" t="str">
        <x:v>/downloads/</x:v>
      </x:c>
      <x:c r="B46" s="7" t="str">
        <x:v>downloads</x:v>
      </x:c>
      <x:c r="C46" s="7" t="str">
        <x:v>Core / Other</x:v>
      </x:c>
    </x:row>
    <x:row r="47" ht="19" customHeight="1">
      <x:c r="A47" s="7" t="str">
        <x:v>/downloads/model-identification-checklist/</x:v>
      </x:c>
      <x:c r="B47" s="7" t="str">
        <x:v>downloads</x:v>
      </x:c>
      <x:c r="C47" s="7" t="str">
        <x:v>Core / Other</x:v>
      </x:c>
    </x:row>
    <x:row r="48" ht="19" customHeight="1">
      <x:c r="A48" s="7" t="str">
        <x:v>/downloads/pre-shipment-checklist/</x:v>
      </x:c>
      <x:c r="B48" s="7" t="str">
        <x:v>downloads</x:v>
      </x:c>
      <x:c r="C48" s="7" t="str">
        <x:v>Core / Other</x:v>
      </x:c>
    </x:row>
    <x:row r="49" ht="19" customHeight="1">
      <x:c r="A49" s="7" t="str">
        <x:v>/editorial-policy/</x:v>
      </x:c>
      <x:c r="B49" s="7" t="str">
        <x:v>editorial-policy</x:v>
      </x:c>
      <x:c r="C49" s="7" t="str">
        <x:v>Core / Other</x:v>
      </x:c>
    </x:row>
    <x:row r="50" ht="19" customHeight="1">
      <x:c r="A50" s="7" t="str">
        <x:v>/industries/</x:v>
      </x:c>
      <x:c r="B50" s="7" t="str">
        <x:v>industries</x:v>
      </x:c>
      <x:c r="C50" s="7" t="str">
        <x:v>Core / Other</x:v>
      </x:c>
    </x:row>
    <x:row r="51" ht="19" customHeight="1">
      <x:c r="A51" s="7" t="str">
        <x:v>/industries/construction-equipment/</x:v>
      </x:c>
      <x:c r="B51" s="7" t="str">
        <x:v>industries</x:v>
      </x:c>
      <x:c r="C51" s="7" t="str">
        <x:v>Core / Other</x:v>
      </x:c>
    </x:row>
    <x:row r="52" ht="19" customHeight="1">
      <x:c r="A52" s="7" t="str">
        <x:v>/industries/industrial-machinery/</x:v>
      </x:c>
      <x:c r="B52" s="7" t="str">
        <x:v>industries</x:v>
      </x:c>
      <x:c r="C52" s="7" t="str">
        <x:v>Core / Other</x:v>
      </x:c>
    </x:row>
    <x:row r="53" ht="19" customHeight="1">
      <x:c r="A53" s="7" t="str">
        <x:v>/industries/metal-forming/</x:v>
      </x:c>
      <x:c r="B53" s="7" t="str">
        <x:v>industries</x:v>
      </x:c>
      <x:c r="C53" s="7" t="str">
        <x:v>Core / Other</x:v>
      </x:c>
    </x:row>
    <x:row r="54" ht="19" customHeight="1">
      <x:c r="A54" s="7" t="str">
        <x:v>/industries/plastics-machinery/</x:v>
      </x:c>
      <x:c r="B54" s="7" t="str">
        <x:v>industries</x:v>
      </x:c>
      <x:c r="C54" s="7" t="str">
        <x:v>Core / Other</x:v>
      </x:c>
    </x:row>
    <x:row r="55" ht="19" customHeight="1">
      <x:c r="A55" s="7" t="str">
        <x:v>/matching-process/</x:v>
      </x:c>
      <x:c r="B55" s="7" t="str">
        <x:v>matching-process</x:v>
      </x:c>
      <x:c r="C55" s="7" t="str">
        <x:v>Core / Other</x:v>
      </x:c>
    </x:row>
    <x:row r="56" ht="19" customHeight="1">
      <x:c r="A56" s="7" t="str">
        <x:v>/models/</x:v>
      </x:c>
      <x:c r="B56" s="7" t="str">
        <x:v>models</x:v>
      </x:c>
      <x:c r="C56" s="7" t="str">
        <x:v>Model</x:v>
      </x:c>
    </x:row>
    <x:row r="57" ht="19" customHeight="1">
      <x:c r="A57" s="7" t="str">
        <x:v>/models/bosch-rexroth-4we6-d6x-eg24n9k4/</x:v>
      </x:c>
      <x:c r="B57" s="7" t="str">
        <x:v>models</x:v>
      </x:c>
      <x:c r="C57" s="7" t="str">
        <x:v>Model</x:v>
      </x:c>
    </x:row>
    <x:row r="58" ht="19" customHeight="1">
      <x:c r="A58" s="7" t="str">
        <x:v>/models/bosch-rexroth-4we10-e5x-eg24n9k4-m/</x:v>
      </x:c>
      <x:c r="B58" s="7" t="str">
        <x:v>models</x:v>
      </x:c>
      <x:c r="C58" s="7" t="str">
        <x:v>Model</x:v>
      </x:c>
    </x:row>
    <x:row r="59" ht="19" customHeight="1">
      <x:c r="A59" s="7" t="str">
        <x:v>/models/bosch-rexroth-a10vso18-drg-31r-vpa12n00/</x:v>
      </x:c>
      <x:c r="B59" s="7" t="str">
        <x:v>models</x:v>
      </x:c>
      <x:c r="C59" s="7" t="str">
        <x:v>Model</x:v>
      </x:c>
    </x:row>
    <x:row r="60" ht="19" customHeight="1">
      <x:c r="A60" s="7" t="str">
        <x:v>/models/cat-169-4883-259-0815-295-9426-153-9426-10r3805/</x:v>
      </x:c>
      <x:c r="B60" s="7" t="str">
        <x:v>models</x:v>
      </x:c>
      <x:c r="C60" s="7" t="str">
        <x:v>Model</x:v>
      </x:c>
    </x:row>
    <x:row r="61" ht="19" customHeight="1">
      <x:c r="A61" s="7" t="str">
        <x:v>/models/eaton-vickers-dg4v-3-6c-m-u-h7-60/</x:v>
      </x:c>
      <x:c r="B61" s="7" t="str">
        <x:v>models</x:v>
      </x:c>
      <x:c r="C61" s="7" t="str">
        <x:v>Model</x:v>
      </x:c>
    </x:row>
    <x:row r="62" ht="19" customHeight="1">
      <x:c r="A62" s="7" t="str">
        <x:v>/models/hydparts-d-000004ro/</x:v>
      </x:c>
      <x:c r="B62" s="7" t="str">
        <x:v>models</x:v>
      </x:c>
      <x:c r="C62" s="7" t="str">
        <x:v>Model</x:v>
      </x:c>
    </x:row>
    <x:row r="63" ht="19" customHeight="1">
      <x:c r="A63" s="7" t="str">
        <x:v>/models/hydparts-d-000006-00ro/</x:v>
      </x:c>
      <x:c r="B63" s="7" t="str">
        <x:v>models</x:v>
      </x:c>
      <x:c r="C63" s="7" t="str">
        <x:v>Model</x:v>
      </x:c>
    </x:row>
    <x:row r="64" ht="19" customHeight="1">
      <x:c r="A64" s="7" t="str">
        <x:v>/models/hydparts-d-000009-00ro/</x:v>
      </x:c>
      <x:c r="B64" s="7" t="str">
        <x:v>models</x:v>
      </x:c>
      <x:c r="C64" s="7" t="str">
        <x:v>Model</x:v>
      </x:c>
    </x:row>
    <x:row r="65" ht="19" customHeight="1">
      <x:c r="A65" s="7" t="str">
        <x:v>/models/hydparts-d-000013-00ro/</x:v>
      </x:c>
      <x:c r="B65" s="7" t="str">
        <x:v>models</x:v>
      </x:c>
      <x:c r="C65" s="7" t="str">
        <x:v>Model</x:v>
      </x:c>
    </x:row>
    <x:row r="66" ht="19" customHeight="1">
      <x:c r="A66" s="7" t="str">
        <x:v>/models/hydparts-d-000014ro/</x:v>
      </x:c>
      <x:c r="B66" s="7" t="str">
        <x:v>models</x:v>
      </x:c>
      <x:c r="C66" s="7" t="str">
        <x:v>Model</x:v>
      </x:c>
    </x:row>
    <x:row r="67" ht="19" customHeight="1">
      <x:c r="A67" s="7" t="str">
        <x:v>/models/hydparts-d-000018-00ro/</x:v>
      </x:c>
      <x:c r="B67" s="7" t="str">
        <x:v>models</x:v>
      </x:c>
      <x:c r="C67" s="7" t="str">
        <x:v>Model</x:v>
      </x:c>
    </x:row>
    <x:row r="68" ht="19" customHeight="1">
      <x:c r="A68" s="7" t="str">
        <x:v>/models/hydparts-d-000020-00ro/</x:v>
      </x:c>
      <x:c r="B68" s="7" t="str">
        <x:v>models</x:v>
      </x:c>
      <x:c r="C68" s="7" t="str">
        <x:v>Model</x:v>
      </x:c>
    </x:row>
    <x:row r="69" ht="19" customHeight="1">
      <x:c r="A69" s="7" t="str">
        <x:v>/models/hydparts-d-000021-00ro/</x:v>
      </x:c>
      <x:c r="B69" s="7" t="str">
        <x:v>models</x:v>
      </x:c>
      <x:c r="C69" s="7" t="str">
        <x:v>Model</x:v>
      </x:c>
    </x:row>
    <x:row r="70" ht="19" customHeight="1">
      <x:c r="A70" s="7" t="str">
        <x:v>/models/hydparts-d-000022-00ro/</x:v>
      </x:c>
      <x:c r="B70" s="7" t="str">
        <x:v>models</x:v>
      </x:c>
      <x:c r="C70" s="7" t="str">
        <x:v>Model</x:v>
      </x:c>
    </x:row>
    <x:row r="71" ht="19" customHeight="1">
      <x:c r="A71" s="7" t="str">
        <x:v>/models/hydparts-d-000026ro/</x:v>
      </x:c>
      <x:c r="B71" s="7" t="str">
        <x:v>models</x:v>
      </x:c>
      <x:c r="C71" s="7" t="str">
        <x:v>Model</x:v>
      </x:c>
    </x:row>
    <x:row r="72" ht="19" customHeight="1">
      <x:c r="A72" s="7" t="str">
        <x:v>/models/parker-d1vw020bnjw/</x:v>
      </x:c>
      <x:c r="B72" s="7" t="str">
        <x:v>models</x:v>
      </x:c>
      <x:c r="C72" s="7" t="str">
        <x:v>Model</x:v>
      </x:c>
    </x:row>
    <x:row r="73" ht="19" customHeight="1">
      <x:c r="A73" s="7" t="str">
        <x:v>/models/poclain-mcr03-seal-kit/</x:v>
      </x:c>
      <x:c r="B73" s="7" t="str">
        <x:v>models</x:v>
      </x:c>
      <x:c r="C73" s="7" t="str">
        <x:v>Model</x:v>
      </x:c>
    </x:row>
    <x:row r="74" ht="19" customHeight="1">
      <x:c r="A74" s="7" t="str">
        <x:v>/models/rexroth-a4vso71dfr-10l-pkb63n00/</x:v>
      </x:c>
      <x:c r="B74" s="7" t="str">
        <x:v>models</x:v>
      </x:c>
      <x:c r="C74" s="7" t="str">
        <x:v>Model</x:v>
      </x:c>
    </x:row>
    <x:row r="75" ht="19" customHeight="1">
      <x:c r="A75" s="7" t="str">
        <x:v>/models/rexroth-a4vso71dfr-10r-vpd63n00/</x:v>
      </x:c>
      <x:c r="B75" s="7" t="str">
        <x:v>models</x:v>
      </x:c>
      <x:c r="C75" s="7" t="str">
        <x:v>Model</x:v>
      </x:c>
    </x:row>
    <x:row r="76" ht="19" customHeight="1">
      <x:c r="A76" s="7" t="str">
        <x:v>/models/rexroth-a10vo28dr-31r-psc61k40/</x:v>
      </x:c>
      <x:c r="B76" s="7" t="str">
        <x:v>models</x:v>
      </x:c>
      <x:c r="C76" s="7" t="str">
        <x:v>Model</x:v>
      </x:c>
    </x:row>
    <x:row r="77" ht="19" customHeight="1">
      <x:c r="A77" s="7" t="str">
        <x:v>/models/rexroth-a10vo45dflr-31l-psc12k03/</x:v>
      </x:c>
      <x:c r="B77" s="7" t="str">
        <x:v>models</x:v>
      </x:c>
      <x:c r="C77" s="7" t="str">
        <x:v>Model</x:v>
      </x:c>
    </x:row>
    <x:row r="78" ht="19" customHeight="1">
      <x:c r="A78" s="7" t="str">
        <x:v>/models/rexroth-a10vo71dflr-31r-vka41k52/</x:v>
      </x:c>
      <x:c r="B78" s="7" t="str">
        <x:v>models</x:v>
      </x:c>
      <x:c r="C78" s="7" t="str">
        <x:v>Model</x:v>
      </x:c>
    </x:row>
    <x:row r="79" ht="19" customHeight="1">
      <x:c r="A79" s="7" t="str">
        <x:v>/models/rexroth-a10vo71dfr-31r-vsa92k03/</x:v>
      </x:c>
      <x:c r="B79" s="7" t="str">
        <x:v>models</x:v>
      </x:c>
      <x:c r="C79" s="7" t="str">
        <x:v>Model</x:v>
      </x:c>
    </x:row>
    <x:row r="80" ht="19" customHeight="1">
      <x:c r="A80" s="7" t="str">
        <x:v>/models/rexroth-a10vo71dr-31r-pua12k07/</x:v>
      </x:c>
      <x:c r="B80" s="7" t="str">
        <x:v>models</x:v>
      </x:c>
      <x:c r="C80" s="7" t="str">
        <x:v>Model</x:v>
      </x:c>
    </x:row>
    <x:row r="81" ht="19" customHeight="1">
      <x:c r="A81" s="7" t="str">
        <x:v>/models/rexroth-a10vso28dfr1-31r-psa11k01/</x:v>
      </x:c>
      <x:c r="B81" s="7" t="str">
        <x:v>models</x:v>
      </x:c>
      <x:c r="C81" s="7" t="str">
        <x:v>Model</x:v>
      </x:c>
    </x:row>
    <x:row r="82" ht="19" customHeight="1">
      <x:c r="A82" s="7" t="str">
        <x:v>/models/rexroth-a10vso71dfr1-31l-vrc62k03/</x:v>
      </x:c>
      <x:c r="B82" s="7" t="str">
        <x:v>models</x:v>
      </x:c>
      <x:c r="C82" s="7" t="str">
        <x:v>Model</x:v>
      </x:c>
    </x:row>
    <x:row r="83" ht="19" customHeight="1">
      <x:c r="A83" s="7" t="str">
        <x:v>/models/rexroth-a10vso100dfr1-31l-vkc12k17/</x:v>
      </x:c>
      <x:c r="B83" s="7" t="str">
        <x:v>models</x:v>
      </x:c>
      <x:c r="C83" s="7" t="str">
        <x:v>Model</x:v>
      </x:c>
    </x:row>
    <x:row r="84" ht="19" customHeight="1">
      <x:c r="A84" s="7" t="str">
        <x:v>/models/rexroth-aa10vo45dflr-31l-ppa62k68/</x:v>
      </x:c>
      <x:c r="B84" s="7" t="str">
        <x:v>models</x:v>
      </x:c>
      <x:c r="C84" s="7" t="str">
        <x:v>Model</x:v>
      </x:c>
    </x:row>
    <x:row r="85" ht="19" customHeight="1">
      <x:c r="A85" s="7" t="str">
        <x:v>/models/rexroth-aa10vo71dflr-31l-psa41k03/</x:v>
      </x:c>
      <x:c r="B85" s="7" t="str">
        <x:v>models</x:v>
      </x:c>
      <x:c r="C85" s="7" t="str">
        <x:v>Model</x:v>
      </x:c>
    </x:row>
    <x:row r="86" ht="19" customHeight="1">
      <x:c r="A86" s="7" t="str">
        <x:v>/models/rexroth-aa10vso71dfr1-31l-vwc61k07/</x:v>
      </x:c>
      <x:c r="B86" s="7" t="str">
        <x:v>models</x:v>
      </x:c>
      <x:c r="C86" s="7" t="str">
        <x:v>Model</x:v>
      </x:c>
    </x:row>
    <x:row r="87" ht="19" customHeight="1">
      <x:c r="A87" s="7" t="str">
        <x:v>/models/rexroth-aa10vso100dflr-31r-ppc62k38/</x:v>
      </x:c>
      <x:c r="B87" s="7" t="str">
        <x:v>models</x:v>
      </x:c>
      <x:c r="C87" s="7" t="str">
        <x:v>Model</x:v>
      </x:c>
    </x:row>
    <x:row r="88" ht="19" customHeight="1">
      <x:c r="A88" s="7" t="str">
        <x:v>/models/rexroth-r909152493-seal-ring-a4vg90/</x:v>
      </x:c>
      <x:c r="B88" s="7" t="str">
        <x:v>models</x:v>
      </x:c>
      <x:c r="C88" s="7" t="str">
        <x:v>Model</x:v>
      </x:c>
    </x:row>
    <x:row r="89" ht="19" customHeight="1">
      <x:c r="A89" s="7" t="str">
        <x:v>/models/rexroth-r910185973-a10v18-hardware/</x:v>
      </x:c>
      <x:c r="B89" s="7" t="str">
        <x:v>models</x:v>
      </x:c>
      <x:c r="C89" s="7" t="str">
        <x:v>Model</x:v>
      </x:c>
    </x:row>
    <x:row r="90" ht="19" customHeight="1">
      <x:c r="A90" s="7" t="str">
        <x:v>/models/rexroth-rsap2d12-seal-kit/</x:v>
      </x:c>
      <x:c r="B90" s="7" t="str">
        <x:v>models</x:v>
      </x:c>
      <x:c r="C90" s="7" t="str">
        <x:v>Model</x:v>
      </x:c>
    </x:row>
    <x:row r="91" ht="19" customHeight="1">
      <x:c r="A91" s="7" t="str">
        <x:v>/models/vickers-02-102262-seal-kit-pvh74-pvh81/</x:v>
      </x:c>
      <x:c r="B91" s="7" t="str">
        <x:v>models</x:v>
      </x:c>
      <x:c r="C91" s="7" t="str">
        <x:v>Model</x:v>
      </x:c>
    </x:row>
    <x:row r="92" ht="19" customHeight="1">
      <x:c r="A92" s="7" t="str">
        <x:v>/models/vickers-02-102264-seal-kit-pvh98-pvh106/</x:v>
      </x:c>
      <x:c r="B92" s="7" t="str">
        <x:v>models</x:v>
      </x:c>
      <x:c r="C92" s="7" t="str">
        <x:v>Model</x:v>
      </x:c>
    </x:row>
    <x:row r="93" ht="19" customHeight="1">
      <x:c r="A93" s="7" t="str">
        <x:v>/privacy/</x:v>
      </x:c>
      <x:c r="B93" s="7" t="str">
        <x:v>privacy</x:v>
      </x:c>
      <x:c r="C93" s="7" t="str">
        <x:v>Core / Other</x:v>
      </x:c>
    </x:row>
    <x:row r="94" ht="19" customHeight="1">
      <x:c r="A94" s="7" t="str">
        <x:v>/products/</x:v>
      </x:c>
      <x:c r="B94" s="7" t="str">
        <x:v>products</x:v>
      </x:c>
      <x:c r="C94" s="7" t="str">
        <x:v>Core / Other</x:v>
      </x:c>
    </x:row>
    <x:row r="95" ht="19" customHeight="1">
      <x:c r="A95" s="7" t="str">
        <x:v>/products/hydraulic-cylinders/</x:v>
      </x:c>
      <x:c r="B95" s="7" t="str">
        <x:v>products</x:v>
      </x:c>
      <x:c r="C95" s="7" t="str">
        <x:v>Core / Other</x:v>
      </x:c>
    </x:row>
    <x:row r="96" ht="19" customHeight="1">
      <x:c r="A96" s="7" t="str">
        <x:v>/products/hydraulic-cylinders/custom-hydraulic-cylinders/</x:v>
      </x:c>
      <x:c r="B96" s="7" t="str">
        <x:v>products</x:v>
      </x:c>
      <x:c r="C96" s="7" t="str">
        <x:v>Core / Other</x:v>
      </x:c>
    </x:row>
    <x:row r="97" ht="19" customHeight="1">
      <x:c r="A97" s="7" t="str">
        <x:v>/products/hydraulic-cylinders/standard-industrial-cylinders/</x:v>
      </x:c>
      <x:c r="B97" s="7" t="str">
        <x:v>products</x:v>
      </x:c>
      <x:c r="C97" s="7" t="str">
        <x:v>Core / Other</x:v>
      </x:c>
    </x:row>
    <x:row r="98" ht="19" customHeight="1">
      <x:c r="A98" s="7" t="str">
        <x:v>/products/hydraulic-motors/</x:v>
      </x:c>
      <x:c r="B98" s="7" t="str">
        <x:v>products</x:v>
      </x:c>
      <x:c r="C98" s="7" t="str">
        <x:v>Core / Other</x:v>
      </x:c>
    </x:row>
    <x:row r="99" ht="19" customHeight="1">
      <x:c r="A99" s="7" t="str">
        <x:v>/products/hydraulic-motors/axial-piston-motors/</x:v>
      </x:c>
      <x:c r="B99" s="7" t="str">
        <x:v>products</x:v>
      </x:c>
      <x:c r="C99" s="7" t="str">
        <x:v>Core / Other</x:v>
      </x:c>
    </x:row>
    <x:row r="100" ht="19" customHeight="1">
      <x:c r="A100" s="7" t="str">
        <x:v>/products/hydraulic-motors/orbital-hydraulic-motors/</x:v>
      </x:c>
      <x:c r="B100" s="7" t="str">
        <x:v>products</x:v>
      </x:c>
      <x:c r="C100" s="7" t="str">
        <x:v>Core / Other</x:v>
      </x:c>
    </x:row>
    <x:row r="101" ht="19" customHeight="1">
      <x:c r="A101" s="7" t="str">
        <x:v>/products/hydraulic-motors/radial-piston-motors/</x:v>
      </x:c>
      <x:c r="B101" s="7" t="str">
        <x:v>products</x:v>
      </x:c>
      <x:c r="C101" s="7" t="str">
        <x:v>Core / Other</x:v>
      </x:c>
    </x:row>
    <x:row r="102" ht="19" customHeight="1">
      <x:c r="A102" s="7" t="str">
        <x:v>/products/hydraulic-motors/swing-travel-motors/</x:v>
      </x:c>
      <x:c r="B102" s="7" t="str">
        <x:v>products</x:v>
      </x:c>
      <x:c r="C102" s="7" t="str">
        <x:v>Core / Other</x:v>
      </x:c>
    </x:row>
    <x:row r="103" ht="19" customHeight="1">
      <x:c r="A103" s="7" t="str">
        <x:v>/products/hydraulic-pump-parts/</x:v>
      </x:c>
      <x:c r="B103" s="7" t="str">
        <x:v>products</x:v>
      </x:c>
      <x:c r="C103" s="7" t="str">
        <x:v>Core / Other</x:v>
      </x:c>
    </x:row>
    <x:row r="104" ht="19" customHeight="1">
      <x:c r="A104" s="7" t="str">
        <x:v>/products/hydraulic-pumps/</x:v>
      </x:c>
      <x:c r="B104" s="7" t="str">
        <x:v>products</x:v>
      </x:c>
      <x:c r="C104" s="7" t="str">
        <x:v>Core / Other</x:v>
      </x:c>
    </x:row>
    <x:row r="105" ht="19" customHeight="1">
      <x:c r="A105" s="7" t="str">
        <x:v>/products/hydraulic-pumps/axial-piston-pumps/</x:v>
      </x:c>
      <x:c r="B105" s="7" t="str">
        <x:v>products</x:v>
      </x:c>
      <x:c r="C105" s="7" t="str">
        <x:v>Core / Other</x:v>
      </x:c>
    </x:row>
    <x:row r="106" ht="19" customHeight="1">
      <x:c r="A106" s="7" t="str">
        <x:v>/products/hydraulic-pumps/gear-pumps/</x:v>
      </x:c>
      <x:c r="B106" s="7" t="str">
        <x:v>products</x:v>
      </x:c>
      <x:c r="C106" s="7" t="str">
        <x:v>Core / Other</x:v>
      </x:c>
    </x:row>
    <x:row r="107" ht="19" customHeight="1">
      <x:c r="A107" s="7" t="str">
        <x:v>/products/hydraulic-pumps/vane-pumps/</x:v>
      </x:c>
      <x:c r="B107" s="7" t="str">
        <x:v>products</x:v>
      </x:c>
      <x:c r="C107" s="7" t="str">
        <x:v>Core / Other</x:v>
      </x:c>
    </x:row>
    <x:row r="108" ht="19" customHeight="1">
      <x:c r="A108" s="7" t="str">
        <x:v>/products/hydraulic-repair-kits/</x:v>
      </x:c>
      <x:c r="B108" s="7" t="str">
        <x:v>products</x:v>
      </x:c>
      <x:c r="C108" s="7" t="str">
        <x:v>Core / Other</x:v>
      </x:c>
    </x:row>
    <x:row r="109" ht="19" customHeight="1">
      <x:c r="A109" s="7" t="str">
        <x:v>/products/hydraulic-repair-kits/hydraulic-seal-kits/</x:v>
      </x:c>
      <x:c r="B109" s="7" t="str">
        <x:v>products</x:v>
      </x:c>
      <x:c r="C109" s="7" t="str">
        <x:v>Core / Other</x:v>
      </x:c>
    </x:row>
    <x:row r="110" ht="19" customHeight="1">
      <x:c r="A110" s="7" t="str">
        <x:v>/products/hydraulic-repair-kits/pump-motor-rotating-groups/</x:v>
      </x:c>
      <x:c r="B110" s="7" t="str">
        <x:v>products</x:v>
      </x:c>
      <x:c r="C110" s="7" t="str">
        <x:v>Core / Other</x:v>
      </x:c>
    </x:row>
    <x:row r="111" ht="19" customHeight="1">
      <x:c r="A111" s="7" t="str">
        <x:v>/products/hydraulic-repair-kits/vane-pump-cartridges/</x:v>
      </x:c>
      <x:c r="B111" s="7" t="str">
        <x:v>products</x:v>
      </x:c>
      <x:c r="C111" s="7" t="str">
        <x:v>Core / Other</x:v>
      </x:c>
    </x:row>
    <x:row r="112" ht="19" customHeight="1">
      <x:c r="A112" s="7" t="str">
        <x:v>/products/hydraulic-valves/</x:v>
      </x:c>
      <x:c r="B112" s="7" t="str">
        <x:v>products</x:v>
      </x:c>
      <x:c r="C112" s="7" t="str">
        <x:v>Core / Other</x:v>
      </x:c>
    </x:row>
    <x:row r="113" ht="19" customHeight="1">
      <x:c r="A113" s="7" t="str">
        <x:v>/products/hydraulic-valves/check-valves/</x:v>
      </x:c>
      <x:c r="B113" s="7" t="str">
        <x:v>products</x:v>
      </x:c>
      <x:c r="C113" s="7" t="str">
        <x:v>Core / Other</x:v>
      </x:c>
    </x:row>
    <x:row r="114" ht="19" customHeight="1">
      <x:c r="A114" s="7" t="str">
        <x:v>/products/hydraulic-valves/flow-control-valves/</x:v>
      </x:c>
      <x:c r="B114" s="7" t="str">
        <x:v>products</x:v>
      </x:c>
      <x:c r="C114" s="7" t="str">
        <x:v>Core / Other</x:v>
      </x:c>
    </x:row>
    <x:row r="115" ht="19" customHeight="1">
      <x:c r="A115" s="7" t="str">
        <x:v>/products/hydraulic-valves/modular-valves/</x:v>
      </x:c>
      <x:c r="B115" s="7" t="str">
        <x:v>products</x:v>
      </x:c>
      <x:c r="C115" s="7" t="str">
        <x:v>Core / Other</x:v>
      </x:c>
    </x:row>
    <x:row r="116" ht="19" customHeight="1">
      <x:c r="A116" s="7" t="str">
        <x:v>/products/hydraulic-valves/pressure-control-valves/</x:v>
      </x:c>
      <x:c r="B116" s="7" t="str">
        <x:v>products</x:v>
      </x:c>
      <x:c r="C116" s="7" t="str">
        <x:v>Core / Other</x:v>
      </x:c>
    </x:row>
    <x:row r="117" ht="19" customHeight="1">
      <x:c r="A117" s="7" t="str">
        <x:v>/products/hydraulic-valves/proportional-servo-valves/</x:v>
      </x:c>
      <x:c r="B117" s="7" t="str">
        <x:v>products</x:v>
      </x:c>
      <x:c r="C117" s="7" t="str">
        <x:v>Core / Other</x:v>
      </x:c>
    </x:row>
    <x:row r="118" ht="19" customHeight="1">
      <x:c r="A118" s="7" t="str">
        <x:v>/products/hydraulic-valves/solenoid-directional-valves/</x:v>
      </x:c>
      <x:c r="B118" s="7" t="str">
        <x:v>products</x:v>
      </x:c>
      <x:c r="C118" s="7" t="str">
        <x:v>Core / Other</x:v>
      </x:c>
    </x:row>
    <x:row r="119" ht="19" customHeight="1">
      <x:c r="A119" s="7" t="str">
        <x:v>/quality/</x:v>
      </x:c>
      <x:c r="B119" s="7" t="str">
        <x:v>quality</x:v>
      </x:c>
      <x:c r="C119" s="7" t="str">
        <x:v>Core / Other</x:v>
      </x:c>
    </x:row>
    <x:row r="120" ht="19" customHeight="1">
      <x:c r="A120" s="7" t="str">
        <x:v>/request-a-quote/</x:v>
      </x:c>
      <x:c r="B120" s="7" t="str">
        <x:v>request-a-quote</x:v>
      </x:c>
      <x:c r="C120" s="7" t="str">
        <x:v>Core / Other</x:v>
      </x:c>
    </x:row>
    <x:row r="121" ht="19" customHeight="1">
      <x:c r="A121" s="7" t="str">
        <x:v>/resources/</x:v>
      </x:c>
      <x:c r="B121" s="7" t="str">
        <x:v>resources</x:v>
      </x:c>
      <x:c r="C121" s="7" t="str">
        <x:v>Resource</x:v>
      </x:c>
    </x:row>
    <x:row r="122" ht="19" customHeight="1">
      <x:c r="A122" s="7" t="str">
        <x:v>/resources/how-to-cross-reference-an-obsolete-hydraulic-valve/</x:v>
      </x:c>
      <x:c r="B122" s="7" t="str">
        <x:v>resources</x:v>
      </x:c>
      <x:c r="C122" s="7" t="str">
        <x:v>Resource</x:v>
      </x:c>
    </x:row>
    <x:row r="123" ht="19" customHeight="1">
      <x:c r="A123" s="7" t="str">
        <x:v>/resources/how-to-identify-a-hydraulic-motor/</x:v>
      </x:c>
      <x:c r="B123" s="7" t="str">
        <x:v>resources</x:v>
      </x:c>
      <x:c r="C123" s="7" t="str">
        <x:v>Resource</x:v>
      </x:c>
    </x:row>
    <x:row r="124" ht="19" customHeight="1">
      <x:c r="A124" s="7" t="str">
        <x:v>/resources/how-to-identify-a-hydraulic-pump-from-its-nameplate/</x:v>
      </x:c>
      <x:c r="B124" s="7" t="str">
        <x:v>resources</x:v>
      </x:c>
      <x:c r="C124" s="7" t="str">
        <x:v>Resource</x:v>
      </x:c>
    </x:row>
    <x:row r="125" ht="19" customHeight="1">
      <x:c r="A125" s="7" t="str">
        <x:v>/resources/how-to-identify-hydraulic-seal-kits-service-parts/</x:v>
      </x:c>
      <x:c r="B125" s="7" t="str">
        <x:v>resources</x:v>
      </x:c>
      <x:c r="C125" s="7" t="str">
        <x:v>Resource</x:v>
      </x:c>
    </x:row>
    <x:row r="126" ht="19" customHeight="1">
      <x:c r="A126" s="7" t="str">
        <x:v>/resources/how-to-read-a-hydraulic-valve-model-code/</x:v>
      </x:c>
      <x:c r="B126" s="7" t="str">
        <x:v>resources</x:v>
      </x:c>
      <x:c r="C126" s="7" t="str">
        <x:v>Resource</x:v>
      </x:c>
    </x:row>
    <x:row r="127" ht="19" customHeight="1">
      <x:c r="A127" s="7" t="str">
        <x:v>/resources/how-to-request-a-custom-hydraulic-cylinder-quote/</x:v>
      </x:c>
      <x:c r="B127" s="7" t="str">
        <x:v>resources</x:v>
      </x:c>
      <x:c r="C127" s="7" t="str">
        <x:v>Resource</x:v>
      </x:c>
    </x:row>
    <x:row r="128" ht="19" customHeight="1">
      <x:c r="A128" s="7" t="str">
        <x:v>/resources/hydraulic-component-pre-shipment-inspection-checklist/</x:v>
      </x:c>
      <x:c r="B128" s="7" t="str">
        <x:v>resources</x:v>
      </x:c>
      <x:c r="C128" s="7" t="str">
        <x:v>Resource</x:v>
      </x:c>
    </x:row>
    <x:row r="129" ht="19" customHeight="1">
      <x:c r="A129" s="7" t="str">
        <x:v>/resources/hydraulic-pump-cavitation-suction-line/</x:v>
      </x:c>
      <x:c r="B129" s="7" t="str">
        <x:v>resources</x:v>
      </x:c>
      <x:c r="C129" s="7" t="str">
        <x:v>Resource</x:v>
      </x:c>
    </x:row>
    <x:row r="130" ht="19" customHeight="1">
      <x:c r="A130" s="7" t="str">
        <x:v>/resources/hydraulic-pump-rotation-flange-and-shaft-identification/</x:v>
      </x:c>
      <x:c r="B130" s="7" t="str">
        <x:v>resources</x:v>
      </x:c>
      <x:c r="C130" s="7" t="str">
        <x:v>Resource</x:v>
      </x:c>
    </x:row>
    <x:row r="131" ht="19" customHeight="1">
      <x:c r="A131" s="7" t="str">
        <x:v>/resources/hydraulic-pump-sizing-flow-pressure-power/</x:v>
      </x:c>
      <x:c r="B131" s="7" t="str">
        <x:v>resources</x:v>
      </x:c>
      <x:c r="C131" s="7" t="str">
        <x:v>Resource</x:v>
      </x:c>
    </x:row>
    <x:row r="132" ht="19" customHeight="1">
      <x:c r="A132" s="7" t="str">
        <x:v>/resources/hydraulic-valve-pressure-drop-heat/</x:v>
      </x:c>
      <x:c r="B132" s="7" t="str">
        <x:v>resources</x:v>
      </x:c>
      <x:c r="C132" s="7" t="str">
        <x:v>Resource</x:v>
      </x:c>
    </x:row>
    <x:row r="133" ht="19" customHeight="1">
      <x:c r="A133" s="7" t="str">
        <x:v>/resources/obsolete-hard-to-find-hydraulic-part-sourcing/</x:v>
      </x:c>
      <x:c r="B133" s="7" t="str">
        <x:v>resources</x:v>
      </x:c>
      <x:c r="C133" s="7" t="str">
        <x:v>Resource</x:v>
      </x:c>
    </x:row>
    <x:row r="134" ht="19" customHeight="1">
      <x:c r="A134" s="7" t="str">
        <x:v>/resources/oem-vs-aftermarket-hydraulic-components/</x:v>
      </x:c>
      <x:c r="B134" s="7" t="str">
        <x:v>resources</x:v>
      </x:c>
      <x:c r="C134" s="7" t="str">
        <x:v>Resource</x:v>
      </x:c>
    </x:row>
    <x:row r="135" ht="19" customHeight="1">
      <x:c r="A135" s="7" t="str">
        <x:v>/resources/original-vs-aftermarket-hydraulic-sourcing-routes/</x:v>
      </x:c>
      <x:c r="B135" s="7" t="str">
        <x:v>resources</x:v>
      </x:c>
      <x:c r="C135" s="7" t="str">
        <x:v>Resource</x:v>
      </x:c>
    </x:row>
    <x:row r="136" ht="19" customHeight="1">
      <x:c r="A136" s="7" t="str">
        <x:v>/resources/what-must-match-when-replacing-a-directional-valve/</x:v>
      </x:c>
      <x:c r="B136" s="7" t="str">
        <x:v>resources</x:v>
      </x:c>
      <x:c r="C136" s="7" t="str">
        <x:v>Resource</x:v>
      </x:c>
    </x:row>
    <x:row r="137" ht="19" customHeight="1">
      <x:c r="A137" s="7" t="str">
        <x:v>/resources/why-the-same-hydraulic-series-may-not-be-interchangeable/</x:v>
      </x:c>
      <x:c r="B137" s="7" t="str">
        <x:v>resources</x:v>
      </x:c>
      <x:c r="C137" s="7" t="str">
        <x:v>Resource</x:v>
      </x:c>
    </x:row>
    <x:row r="138" ht="19" customHeight="1">
      <x:c r="A138" s="7" t="str">
        <x:v>/series/</x:v>
      </x:c>
      <x:c r="B138" s="7" t="str">
        <x:v>series</x:v>
      </x:c>
      <x:c r="C138" s="7" t="str">
        <x:v>Series</x:v>
      </x:c>
    </x:row>
    <x:row r="139" ht="19" customHeight="1">
      <x:c r="A139" s="7" t="str">
        <x:v>/series/4we6/</x:v>
      </x:c>
      <x:c r="B139" s="7" t="str">
        <x:v>series</x:v>
      </x:c>
      <x:c r="C139" s="7" t="str">
        <x:v>Series</x:v>
      </x:c>
    </x:row>
    <x:row r="140" ht="19" customHeight="1">
      <x:c r="A140" s="7" t="str">
        <x:v>/series/4we10/</x:v>
      </x:c>
      <x:c r="B140" s="7" t="str">
        <x:v>series</x:v>
      </x:c>
      <x:c r="C140" s="7" t="str">
        <x:v>Series</x:v>
      </x:c>
    </x:row>
    <x:row r="141" ht="19" customHeight="1">
      <x:c r="A141" s="7" t="str">
        <x:v>/series/a4vg/</x:v>
      </x:c>
      <x:c r="B141" s="7" t="str">
        <x:v>series</x:v>
      </x:c>
      <x:c r="C141" s="7" t="str">
        <x:v>Series</x:v>
      </x:c>
    </x:row>
    <x:row r="142" ht="19" customHeight="1">
      <x:c r="A142" s="7" t="str">
        <x:v>/series/a4vso/</x:v>
      </x:c>
      <x:c r="B142" s="7" t="str">
        <x:v>series</x:v>
      </x:c>
      <x:c r="C142" s="7" t="str">
        <x:v>Series</x:v>
      </x:c>
    </x:row>
    <x:row r="143" ht="19" customHeight="1">
      <x:c r="A143" s="7" t="str">
        <x:v>/series/a10v/</x:v>
      </x:c>
      <x:c r="B143" s="7" t="str">
        <x:v>series</x:v>
      </x:c>
      <x:c r="C143" s="7" t="str">
        <x:v>Series</x:v>
      </x:c>
    </x:row>
    <x:row r="144" ht="19" customHeight="1">
      <x:c r="A144" s="7" t="str">
        <x:v>/series/a10vo/</x:v>
      </x:c>
      <x:c r="B144" s="7" t="str">
        <x:v>series</x:v>
      </x:c>
      <x:c r="C144" s="7" t="str">
        <x:v>Series</x:v>
      </x:c>
    </x:row>
    <x:row r="145" ht="19" customHeight="1">
      <x:c r="A145" s="7" t="str">
        <x:v>/series/a10vso/</x:v>
      </x:c>
      <x:c r="B145" s="7" t="str">
        <x:v>series</x:v>
      </x:c>
      <x:c r="C145" s="7" t="str">
        <x:v>Series</x:v>
      </x:c>
    </x:row>
    <x:row r="146" ht="19" customHeight="1">
      <x:c r="A146" s="7" t="str">
        <x:v>/series/aa10vo/</x:v>
      </x:c>
      <x:c r="B146" s="7" t="str">
        <x:v>series</x:v>
      </x:c>
      <x:c r="C146" s="7" t="str">
        <x:v>Series</x:v>
      </x:c>
    </x:row>
    <x:row r="147" ht="19" customHeight="1">
      <x:c r="A147" s="7" t="str">
        <x:v>/series/aa10vso/</x:v>
      </x:c>
      <x:c r="B147" s="7" t="str">
        <x:v>series</x:v>
      </x:c>
      <x:c r="C147" s="7" t="str">
        <x:v>Series</x:v>
      </x:c>
    </x:row>
    <x:row r="148" ht="19" customHeight="1">
      <x:c r="A148" s="7" t="str">
        <x:v>/series/ap2d/</x:v>
      </x:c>
      <x:c r="B148" s="7" t="str">
        <x:v>series</x:v>
      </x:c>
      <x:c r="C148" s="7" t="str">
        <x:v>Series</x:v>
      </x:c>
    </x:row>
    <x:row r="149" ht="19" customHeight="1">
      <x:c r="A149" s="7" t="str">
        <x:v>/series/cat-piston-pump/</x:v>
      </x:c>
      <x:c r="B149" s="7" t="str">
        <x:v>series</x:v>
      </x:c>
      <x:c r="C149" s="7" t="str">
        <x:v>Series</x:v>
      </x:c>
    </x:row>
    <x:row r="150" ht="19" customHeight="1">
      <x:c r="A150" s="7" t="str">
        <x:v>/series/d1vw/</x:v>
      </x:c>
      <x:c r="B150" s="7" t="str">
        <x:v>series</x:v>
      </x:c>
      <x:c r="C150" s="7" t="str">
        <x:v>Series</x:v>
      </x:c>
    </x:row>
    <x:row r="151" ht="19" customHeight="1">
      <x:c r="A151" s="7" t="str">
        <x:v>/series/dg4v/</x:v>
      </x:c>
      <x:c r="B151" s="7" t="str">
        <x:v>series</x:v>
      </x:c>
      <x:c r="C151" s="7" t="str">
        <x:v>Series</x:v>
      </x:c>
    </x:row>
    <x:row r="152" ht="19" customHeight="1">
      <x:c r="A152" s="7" t="str">
        <x:v>/series/m1d/</x:v>
      </x:c>
      <x:c r="B152" s="7" t="str">
        <x:v>series</x:v>
      </x:c>
      <x:c r="C152" s="7" t="str">
        <x:v>Series</x:v>
      </x:c>
    </x:row>
    <x:row r="153" ht="19" customHeight="1">
      <x:c r="A153" s="7" t="str">
        <x:v>/series/mcr/</x:v>
      </x:c>
      <x:c r="B153" s="7" t="str">
        <x:v>series</x:v>
      </x:c>
      <x:c r="C153" s="7" t="str">
        <x:v>Series</x:v>
      </x:c>
    </x:row>
    <x:row r="154" ht="19" customHeight="1">
      <x:c r="A154" s="7" t="str">
        <x:v>/series/pavc/</x:v>
      </x:c>
      <x:c r="B154" s="7" t="str">
        <x:v>series</x:v>
      </x:c>
      <x:c r="C154" s="7" t="str">
        <x:v>Series</x:v>
      </x:c>
    </x:row>
    <x:row r="155" ht="19" customHeight="1">
      <x:c r="A155" s="7" t="str">
        <x:v>/series/pvh/</x:v>
      </x:c>
      <x:c r="B155" s="7" t="str">
        <x:v>series</x:v>
      </x:c>
      <x:c r="C155" s="7" t="str">
        <x:v>Series</x:v>
      </x:c>
    </x:row>
    <x:row r="156" ht="19" customHeight="1">
      <x:c r="A156" s="7" t="str">
        <x:v>/series/t5d/</x:v>
      </x:c>
      <x:c r="B156" s="7" t="str">
        <x:v>series</x:v>
      </x:c>
      <x:c r="C156" s="7" t="str">
        <x:v>Series</x:v>
      </x:c>
    </x:row>
    <x:row r="157" ht="19" customHeight="1">
      <x:c r="A157" s="7" t="str">
        <x:v>/series/t6cc/</x:v>
      </x:c>
      <x:c r="B157" s="7" t="str">
        <x:v>series</x:v>
      </x:c>
      <x:c r="C157" s="7" t="str">
        <x:v>Series</x:v>
      </x:c>
    </x:row>
    <x:row r="158" ht="19" customHeight="1">
      <x:c r="A158" s="7" t="str">
        <x:v>/series/t6ccm/</x:v>
      </x:c>
      <x:c r="B158" s="7" t="str">
        <x:v>series</x:v>
      </x:c>
      <x:c r="C158" s="7" t="str">
        <x:v>Series</x:v>
      </x:c>
    </x:row>
    <x:row r="159" ht="19" customHeight="1">
      <x:c r="A159" s="7" t="str">
        <x:v>/series/t6dc/</x:v>
      </x:c>
      <x:c r="B159" s="7" t="str">
        <x:v>series</x:v>
      </x:c>
      <x:c r="C159" s="7" t="str">
        <x:v>Series</x:v>
      </x:c>
    </x:row>
    <x:row r="160" ht="19" customHeight="1">
      <x:c r="A160" s="7" t="str">
        <x:v>/series/tmb/</x:v>
      </x:c>
      <x:c r="B160" s="7" t="str">
        <x:v>series</x:v>
      </x:c>
      <x:c r="C160" s="7" t="str">
        <x:v>Series</x:v>
      </x:c>
    </x:row>
    <x:row r="161" ht="19" customHeight="1">
      <x:c r="A161" s="7" t="str">
        <x:v>/shipping/</x:v>
      </x:c>
      <x:c r="B161" s="7" t="str">
        <x:v>shipping</x:v>
      </x:c>
      <x:c r="C161" s="7" t="str">
        <x:v>Core / Other</x:v>
      </x:c>
    </x:row>
    <x:row r="162" ht="19" customHeight="1">
      <x:c r="A162" s="7" t="str">
        <x:v>/sitemap/</x:v>
      </x:c>
      <x:c r="B162" s="7" t="str">
        <x:v>sitemap</x:v>
      </x:c>
      <x:c r="C162" s="7" t="str">
        <x:v>Core / Other</x:v>
      </x:c>
    </x:row>
    <x:row r="163" ht="19" customHeight="1">
      <x:c r="A163" s="7" t="str">
        <x:v>/terms/</x:v>
      </x:c>
      <x:c r="B163" s="7" t="str">
        <x:v>terms</x:v>
      </x:c>
      <x:c r="C163" s="7" t="str">
        <x:v>Core / Other</x:v>
      </x:c>
    </x:row>
    <x:row r="164" ht="19" customHeight="1">
      <x:c r="A164" s="7" t="str">
        <x:v>/tools/</x:v>
      </x:c>
      <x:c r="B164" s="7" t="str">
        <x:v>tools</x:v>
      </x:c>
      <x:c r="C164" s="7" t="str">
        <x:v>Core / Other</x:v>
      </x:c>
    </x:row>
    <x:row r="165" ht="19" customHeight="1">
      <x:c r="A165" s="7" t="str">
        <x:v>/trademark-disclaimer/</x:v>
      </x:c>
      <x:c r="B165" s="7" t="str">
        <x:v>trademark-disclaimer</x:v>
      </x:c>
      <x:c r="C165" s="7" t="str">
        <x:v>Core / Other</x:v>
      </x:c>
    </x:row>
    <x:row r="166" ht="19" customHeight="1">
      <x:c r="A166" s="7" t="str">
        <x:v>/trust/</x:v>
      </x:c>
      <x:c r="B166" s="7" t="str">
        <x:v>trust</x:v>
      </x:c>
      <x:c r="C166" s="7" t="str">
        <x:v>Core / Other</x:v>
      </x:c>
    </x:row>
    <x:row r="167" ht="19" customHeight="1">
      <x:c r="A167" s="7" t="str">
        <x:v>/warranty/</x:v>
      </x:c>
      <x:c r="B167" s="7" t="str">
        <x:v>warranty</x:v>
      </x:c>
      <x:c r="C167" s="7" t="str">
        <x:v>Core / Other</x:v>
      </x:c>
    </x:row>
  </x:sheetData>
  <x:pageMargins left="0.7" right="0.7" top="0.75" bottom="0.75" header="0.3" footer="0.3"/>
  <x:tableParts count="1">
    <x:tablePart xmlns:r="http://schemas.openxmlformats.org/officeDocument/2006/relationships" r:id="R957e62636a7d49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>
      <x:c r="A1" s="50" t="str">
        <x:v>Methodology, Assumptions and Source Notes</x:v>
      </x:c>
      <x:c r="B1" s="50"/>
      <x:c r="C1" s="31"/>
      <x:c r="D1" s="31"/>
      <x:c r="E1" s="31"/>
      <x:c r="F1" s="31"/>
    </x:row>
    <x:row r="2">
      <x:c r="A2" s="50"/>
      <x:c r="B2" s="50"/>
      <x:c r="C2" s="31"/>
      <x:c r="D2" s="31"/>
      <x:c r="E2" s="31"/>
      <x:c r="F2" s="31"/>
    </x:row>
    <x:row r="3">
      <x:c r="A3" s="44"/>
      <x:c r="B3" s="44"/>
    </x:row>
    <x:row r="4">
      <x:c r="A4" s="51" t="str">
        <x:v>Scope</x:v>
      </x:c>
      <x:c r="B4" s="52" t="str">
        <x:v>United States; English; Google Keyword Planner data through Keywords Everywhere.</x:v>
      </x:c>
    </x:row>
    <x:row r="5">
      <x:c r="A5" s="53" t="str">
        <x:v>Authorized KE credits</x:v>
      </x:c>
      <x:c r="B5" s="54" t="n">
        <x:v>500</x:v>
      </x:c>
    </x:row>
    <x:row r="6">
      <x:c r="A6" s="53" t="str">
        <x:v>Actual KE credits used</x:v>
      </x:c>
      <x:c r="B6" s="54" t="n">
        <x:v>483</x:v>
      </x:c>
    </x:row>
    <x:row r="7">
      <x:c r="A7" s="53" t="str">
        <x:v>Owned domains analyzed</x:v>
      </x:c>
      <x:c r="B7" s="54" t="str">
        <x:v>rexrothreplacements.com, hydraulicpumpsupply.com, restopower.com, hydparts.com</x:v>
      </x:c>
    </x:row>
    <x:row r="8">
      <x:c r="A8" s="53" t="str">
        <x:v>Direct keyword metrics</x:v>
      </x:c>
      <x:c r="B8" s="54" t="n">
        <x:v>421</x:v>
      </x:c>
    </x:row>
    <x:row r="9">
      <x:c r="A9" s="53" t="str">
        <x:v>Owned-domain ranking terms returned</x:v>
      </x:c>
      <x:c r="B9" s="54" t="n">
        <x:v>27</x:v>
      </x:c>
    </x:row>
    <x:row r="10">
      <x:c r="A10" s="53" t="str">
        <x:v>Competition definition</x:v>
      </x:c>
      <x:c r="B10" s="54" t="str">
        <x:v>Google Ads advertiser competition (0–1), not organic SEO difficulty.</x:v>
      </x:c>
    </x:row>
    <x:row r="11">
      <x:c r="A11" s="53" t="str">
        <x:v>Priority A</x:v>
      </x:c>
      <x:c r="B11" s="54" t="str">
        <x:v>Highest commercial value and measurable demand; act first.</x:v>
      </x:c>
    </x:row>
    <x:row r="12">
      <x:c r="A12" s="53" t="str">
        <x:v>Priority B</x:v>
      </x:c>
      <x:c r="B12" s="54" t="str">
        <x:v>Strong supporting opportunity; act after A items.</x:v>
      </x:c>
    </x:row>
    <x:row r="13">
      <x:c r="A13" s="53" t="str">
        <x:v>Priority C</x:v>
      </x:c>
      <x:c r="B13" s="54" t="str">
        <x:v>Useful coverage/supporting content; validate SERP before building.</x:v>
      </x:c>
    </x:row>
    <x:row r="14">
      <x:c r="A14" s="53" t="str">
        <x:v>Priority D</x:v>
      </x:c>
      <x:c r="B14" s="54" t="str">
        <x:v>Ambiguous, weak, irrelevant or currently too low-value.</x:v>
      </x:c>
    </x:row>
    <x:row r="15">
      <x:c r="A15" s="53" t="str">
        <x:v>Target CTR assumption</x:v>
      </x:c>
      <x:c r="B15" s="54" t="str">
        <x:v>Dashboard!B11; editable scenario input.</x:v>
      </x:c>
    </x:row>
    <x:row r="16">
      <x:c r="A16" s="53" t="str">
        <x:v>Inquiry-rate assumption</x:v>
      </x:c>
      <x:c r="B16" s="54" t="str">
        <x:v>Dashboard!D11; editable scenario input.</x:v>
      </x:c>
    </x:row>
    <x:row r="17">
      <x:c r="A17" s="53" t="str">
        <x:v>Traffic warning</x:v>
      </x:c>
      <x:c r="B17" s="54" t="str">
        <x:v>Search volumes overlap across close variants; do not sum them as unique market demand.</x:v>
      </x:c>
    </x:row>
    <x:row r="18">
      <x:c r="A18" s="53" t="str">
        <x:v>Zero-volume warning</x:v>
      </x:c>
      <x:c r="B18" s="54" t="str">
        <x:v>Exact industrial model queries may still produce valuable RFQs despite suppressed/zero tool volume.</x:v>
      </x:c>
    </x:row>
    <x:row r="19">
      <x:c r="A19" s="53" t="str">
        <x:v>Source</x:v>
      </x:c>
      <x:c r="B19" s="54" t="str">
        <x:v>https://api.keywordseverywhere.com/docs/</x:v>
      </x:c>
    </x:row>
    <x:row r="20">
      <x:c r="A20" s="53" t="str">
        <x:v>Source</x:v>
      </x:c>
      <x:c r="B20" s="54" t="str">
        <x:v>https://keywordseverywhere.com/api-documentation.html</x:v>
      </x:c>
    </x:row>
    <x:row r="21">
      <x:c r="A21" s="55" t="str">
        <x:v>Current site</x:v>
      </x:c>
      <x:c r="B21" s="56" t="str">
        <x:v>https://hydraulicmatch.com/</x:v>
      </x:c>
    </x:row>
  </x:sheetData>
  <x:mergeCells>
    <x:mergeCell ref="A1:F2"/>
  </x:mergeCells>
  <x:pageMargins left="0.7" right="0.7" top="0.75" bottom="0.75" header="0.3" footer="0.3"/>
</x:worksheet>
</file>